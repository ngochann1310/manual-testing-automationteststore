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D:\AutomaitonTestStore - E-commerce Testing Project\"/>
    </mc:Choice>
  </mc:AlternateContent>
  <xr:revisionPtr revIDLastSave="0" documentId="13_ncr:1_{D79A24EB-4207-46C2-B329-7AB61803587F}" xr6:coauthVersionLast="47" xr6:coauthVersionMax="47" xr10:uidLastSave="{00000000-0000-0000-0000-000000000000}"/>
  <bookViews>
    <workbookView xWindow="4905" yWindow="3810" windowWidth="16200" windowHeight="9308" firstSheet="3" activeTab="5" xr2:uid="{00000000-000D-0000-FFFF-FFFF00000000}"/>
  </bookViews>
  <sheets>
    <sheet name="Test Details" sheetId="1" r:id="rId1"/>
    <sheet name="Register" sheetId="2" r:id="rId2"/>
    <sheet name="Login" sheetId="5" r:id="rId3"/>
    <sheet name="Checkout" sheetId="6" r:id="rId4"/>
    <sheet name="CheckYourOrder" sheetId="7" r:id="rId5"/>
    <sheet name="ContactUs" sheetId="8" r:id="rId6"/>
    <sheet name="Test Summary" sheetId="3" r:id="rId7"/>
  </sheets>
  <definedNames>
    <definedName name="_xlnm._FilterDatabase" localSheetId="3" hidden="1">Checkout!$A$1:$Y$2</definedName>
    <definedName name="_xlnm._FilterDatabase" localSheetId="4" hidden="1">CheckYourOrder!$A$1:$Y$2</definedName>
    <definedName name="_xlnm._FilterDatabase" localSheetId="5" hidden="1">ContactUs!$A$1:$Y$2</definedName>
    <definedName name="_xlnm._FilterDatabase" localSheetId="2" hidden="1">Login!$A$1:$Y$2</definedName>
    <definedName name="_xlnm._FilterDatabase" localSheetId="1" hidden="1">Register!$A$1:$Y$2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 i="8" l="1"/>
  <c r="J16" i="8"/>
  <c r="D11" i="7"/>
  <c r="D10" i="7"/>
  <c r="D42" i="6"/>
  <c r="D41" i="6"/>
  <c r="D38" i="2"/>
  <c r="D37" i="2"/>
  <c r="D31" i="5"/>
  <c r="G10" i="3"/>
  <c r="G9" i="3"/>
  <c r="D32" i="5"/>
  <c r="A4" i="8"/>
  <c r="A5" i="8"/>
  <c r="A6" i="8"/>
  <c r="A7" i="8"/>
  <c r="A8" i="8"/>
  <c r="A9" i="8"/>
  <c r="A10" i="8"/>
  <c r="A11" i="8"/>
  <c r="A12" i="8"/>
  <c r="A13" i="8"/>
  <c r="A3" i="8"/>
  <c r="A4" i="7"/>
  <c r="A5" i="7"/>
  <c r="A6" i="7"/>
  <c r="A7" i="7"/>
  <c r="A3" i="7"/>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 i="6"/>
  <c r="A4" i="5"/>
  <c r="A5" i="5"/>
  <c r="A6" i="5"/>
  <c r="A7" i="5"/>
  <c r="A8" i="5"/>
  <c r="A9" i="5"/>
  <c r="A10" i="5"/>
  <c r="A11" i="5"/>
  <c r="A12" i="5"/>
  <c r="A13" i="5"/>
  <c r="A14" i="5"/>
  <c r="A15" i="5"/>
  <c r="A16" i="5"/>
  <c r="A17" i="5"/>
  <c r="A18" i="5"/>
  <c r="A19" i="5"/>
  <c r="A20" i="5"/>
  <c r="A21" i="5"/>
  <c r="A22" i="5"/>
  <c r="A23" i="5"/>
  <c r="A24" i="5"/>
  <c r="A25" i="5"/>
  <c r="A26" i="5"/>
  <c r="A27" i="5"/>
  <c r="A28" i="5"/>
  <c r="A3" i="5"/>
  <c r="A28" i="2"/>
  <c r="A29" i="2"/>
  <c r="A30" i="2"/>
  <c r="A31" i="2"/>
  <c r="A32" i="2"/>
  <c r="A33" i="2"/>
  <c r="A34" i="2"/>
  <c r="A5" i="2"/>
  <c r="A6" i="2"/>
  <c r="A7" i="2"/>
  <c r="A8" i="2"/>
  <c r="A9" i="2"/>
  <c r="A10" i="2"/>
  <c r="A11" i="2"/>
  <c r="A12" i="2"/>
  <c r="A13" i="2"/>
  <c r="A14" i="2"/>
  <c r="A15" i="2"/>
  <c r="A16" i="2"/>
  <c r="A17" i="2"/>
  <c r="A18" i="2"/>
  <c r="A19" i="2"/>
  <c r="A20" i="2"/>
  <c r="A21" i="2"/>
  <c r="A22" i="2"/>
  <c r="A23" i="2"/>
  <c r="A24" i="2"/>
  <c r="A25" i="2"/>
  <c r="A26" i="2"/>
  <c r="A27" i="2"/>
  <c r="A4" i="2"/>
  <c r="A3" i="2"/>
  <c r="G12" i="3" l="1"/>
  <c r="G11" i="3"/>
</calcChain>
</file>

<file path=xl/sharedStrings.xml><?xml version="1.0" encoding="utf-8"?>
<sst xmlns="http://schemas.openxmlformats.org/spreadsheetml/2006/main" count="1217" uniqueCount="648">
  <si>
    <t>Test Cases</t>
  </si>
  <si>
    <t>Test Steps</t>
  </si>
  <si>
    <t>Test Data</t>
  </si>
  <si>
    <t>Case No.</t>
  </si>
  <si>
    <t>Correct</t>
  </si>
  <si>
    <t>Actual Output</t>
  </si>
  <si>
    <t>Description</t>
  </si>
  <si>
    <t>Expected Output</t>
  </si>
  <si>
    <t>Incorrect</t>
  </si>
  <si>
    <t>Suggestion</t>
  </si>
  <si>
    <t>Browser</t>
  </si>
  <si>
    <t>Version</t>
  </si>
  <si>
    <t>Can't Test</t>
  </si>
  <si>
    <t>Cycle 1 - Test Summary</t>
  </si>
  <si>
    <t>Application Name</t>
  </si>
  <si>
    <t>Testing Type</t>
  </si>
  <si>
    <t>Testing Start Date</t>
  </si>
  <si>
    <t>Testing End Date</t>
  </si>
  <si>
    <t>&lt;testing start date&gt;</t>
  </si>
  <si>
    <t>&lt;testing end date&gt;</t>
  </si>
  <si>
    <t>Browser version</t>
  </si>
  <si>
    <t>DB Name</t>
  </si>
  <si>
    <t>Cycle No.</t>
  </si>
  <si>
    <t>&lt;1/2/3&gt;</t>
  </si>
  <si>
    <t>CR Status</t>
  </si>
  <si>
    <t>&lt;open/close/deferred/hold&gt;</t>
  </si>
  <si>
    <t>Prepared By</t>
  </si>
  <si>
    <t>Tested By</t>
  </si>
  <si>
    <t>Reviewed By</t>
  </si>
  <si>
    <t>FrontEnd Server Name</t>
  </si>
  <si>
    <t>BackEnd Server Name</t>
  </si>
  <si>
    <t>Observation</t>
  </si>
  <si>
    <t>Defect ID</t>
  </si>
  <si>
    <t>Description of actual defect</t>
  </si>
  <si>
    <t>Header</t>
  </si>
  <si>
    <t>Test Cases for Text box</t>
  </si>
  <si>
    <t>Menu Name</t>
  </si>
  <si>
    <t>manual</t>
  </si>
  <si>
    <t>AutomationTestStore</t>
  </si>
  <si>
    <t>Verify that the user cannot successfully register with an invalid First Name containing numeric and special characters.</t>
  </si>
  <si>
    <t>1. Navigate to the registration page.
2. Enter numeric and special characters into the First Name field.
3. Enter valid data into the remaining fields.
4. Click “Continue” to complete registration.</t>
  </si>
  <si>
    <t>The system did not display any error message when the First Name contained numeric and special characters.</t>
  </si>
  <si>
    <t>Bug ID TC01</t>
  </si>
  <si>
    <t>Verify that the user cannot successfully register with a First Name exceeding the allowed length (1–32 characters).</t>
  </si>
  <si>
    <t>1. Navigate to the registration page.
2. Enter a First Name longer than 32 characters.
3. Enter valid data into the remaining fields.
4. Click “Continue” to complete registration.</t>
  </si>
  <si>
    <t>Should be displaied an error message when the First Name contains numeric and special characters.</t>
  </si>
  <si>
    <t>Pre-condition</t>
  </si>
  <si>
    <t>No account exists with the same login name or email address.</t>
  </si>
  <si>
    <t>Should display an error message when the First Name exceeds the maximum allowed length.</t>
  </si>
  <si>
    <t>The system displayed The system displayed an error message when the First Name exceeded the allowed length. error message when the First Name exceeded the allowed length.</t>
  </si>
  <si>
    <t>Verify that the user cannot successfully register with an invalid Last Name containing numeric and special characters.</t>
  </si>
  <si>
    <t>1. Navigate to the registration page.
2. Enter numeric and special characters into the Last Name field.
3. Enter valid data into the remaining fields.
4. Click “Continue” to complete registration.</t>
  </si>
  <si>
    <t>Should display an error message when the Last Name contains numeric and special characters.</t>
  </si>
  <si>
    <t>The system did not display any error message when the Last Name contained numeric and special characters.</t>
  </si>
  <si>
    <t>Bug ID TC03</t>
  </si>
  <si>
    <t>Verify that the user cannot successfully register with a Last Name exceeding the allowed length (1–32 characters).</t>
  </si>
  <si>
    <t>1. Navigate to the registration page.
2. Enter a Last Name longer than 32 characters.
3. Enter valid data into the remaining fields.
4. Click “Continue” to complete registration.</t>
  </si>
  <si>
    <t>Should display an error message when the Last Name exceeds the maximum allowed length.</t>
  </si>
  <si>
    <t>The system displayed an error message when the Last Name exceeded the allowed length.</t>
  </si>
  <si>
    <t>Verify that the user cannot successfully register with an invalid email address missing the “@” symbol.</t>
  </si>
  <si>
    <t>1. Navigate to the registration page.
2. Enter an invalid email address without the “@” symbol.
3. Enter valid data into the remaining fields.
4. Click “Continue” to complete registration.</t>
  </si>
  <si>
    <t>Should display an error message for an invalid email address format.</t>
  </si>
  <si>
    <t>The system displayed an error message for the invalid email address format.</t>
  </si>
  <si>
    <t>N/A</t>
  </si>
  <si>
    <t>Verify that the user cannot successfully register with an invalid email address containing multiple “@” symbols.</t>
  </si>
  <si>
    <t>1. Navigate to the registration page.
2. Enter an email address containing an extra “@” symbol.
3. Enter valid data into the remaining fields.
4. Click “Continue” to complete registration</t>
  </si>
  <si>
    <t>Verify that the user cannot successfully register with an invalid email address starting with a dot in the username part.</t>
  </si>
  <si>
    <t>1. Navigate to the registration page.
2. Enter an email address with the username starting with a dot (“.”).
3. Enter valid data into the remaining fields.
4. Click “Continue” to complete registration.</t>
  </si>
  <si>
    <t>Should display an error message when the email address starts with a dot.</t>
  </si>
  <si>
    <t>The system did not display any error message when the email address started with a dot.</t>
  </si>
  <si>
    <t>Bug ID TC07</t>
  </si>
  <si>
    <t>Verify that the user cannot successfully register with an invalid email address containing a dot before the “@” symbol.</t>
  </si>
  <si>
    <t>1. Navigate to the registration page.
2. Enter an email address with a dot (“.”) immediately before the “@” symbol.
3. Enter valid data into the remaining fields.
4. Click “Continue” to complete registration.</t>
  </si>
  <si>
    <t xml:space="preserve">First Name: 123@
Last Name: ngoc
E-Mail: ngochan@gmail.com
Telephone: 0981049332
Fax: +84 (8) 3823 7272
Company: Finan
Address 1: 5 đường số 8
City: Thành phố Hồ Chí Minh
Region/State: Ho Chi Minh City
ZIP Code: 71300
Country: Viet Nam
Login name: ngochan10
Password: han1310
Password confirm: han1310
Privacy Policy: Checked
</t>
  </si>
  <si>
    <t xml:space="preserve">First Name: cong tang ton nu ta thi xuan ha thu trang sang dong
Last Name: ngoc
E-Mail: ngochan@gmail.com
Telephone: 0981049332
Fax: +84 (8) 3823 7272
Company: Finan
Address 1: 5 đường số 8
City: Thành phố Hồ Chí Minh
Region/State: Ho Chi Minh City
ZIP Code: 71300
Country: Viet Nam
Login Name: ngochan10
Password: han1310
Password Confirm: han1310
Privacy Policy: Checked
</t>
  </si>
  <si>
    <t xml:space="preserve">First Name: han
Last Name: 123@
E-Mail: ngochan@gmail.com
Telephone: 0981049332
Fax: +84 (8) 3823 7272
Company: Finan
Address 1: 5 đường số 8
City: Thành phố Hồ Chí Minh
Region/State: Ho Chi Minh City
ZIP Code: 71300
Country: Viet Nam
Login Name: ngochan10
Password: han1310
Password Confirm: han1310
Privacy Policy: Checked
</t>
  </si>
  <si>
    <t xml:space="preserve">First Name: han
Last Name: cong tang ton nu ta thi xuan ha thu dong roi lai xuan
E-Mail: ngochan@gmail.com
Telephone: 0981049332
Fax: +84 (8) 3823 7272
Company: Finan
Address 1: 5 đường số 8
City: Thành phố Hồ Chí Minh
Region/State: Ho Chi Minh City
ZIP Code: 71300
Country: Viet Nam
Login Name: ngochan10
Password: han1310
Password Confirm: han1310
Privacy Policy: Checked
</t>
  </si>
  <si>
    <t xml:space="preserve">First Name: han
Last Name: ngoc
E-Mail: ngochangmail.com
Telephone: 0981049332
Fax: +84 (8) 3823 7272
Company: Finan
Address 1: 5 đường số 8
City: Thành phố Hồ Chí Minh
Region/State: Ho Chi Minh City
ZIP Code: 71300
Country: Viet Nam
Login Name: ngochan10
Password: han1310
Password Confirm: han1310
Privacy Policy: Checked
</t>
  </si>
  <si>
    <t xml:space="preserve">First Name: han
Last Name: ngoc
E-Mail: ngoc@han@gmail.com
Telephone: 0981049332
Fax: +84 (8) 3823 7272
Company: Finan
Address 1: 5 đường số 8
City: Thành phố Hồ Chí Minh
Region/State: Ho Chi Minh City
ZIP Code: 71300
Country: Viet Nam
Login Name: ngochan10
Password: han1310
Password Confirm: han1310
Privacy Policy: Checked
</t>
  </si>
  <si>
    <t xml:space="preserve">First Name: han
Last Name: ngoc
E-Mail: .ngochan@gmail.com
Telephone: 0981049332
Fax: +84 (8) 3823 7272
Company: Finan
Address 1: 5 đường số 8
City: Thành phố Hồ Chí Minh
Region/State: Ho Chi Minh City
ZIP Code: 71300
Country: Viet Nam
Login Name: ngochan10
Password: han1310
Password Confirm: han1310
Privacy Policy: Checked
</t>
  </si>
  <si>
    <t xml:space="preserve">First Name: han
Last Name: ngoc
E-Mail: ngochan.@gmail.com
Telephone: 0981049332
Fax: +84 (8) 3823 7272
Company: Finan
Address 1: 5 đường số 8
City: Thành phố Hồ Chí Minh
Region/State: Ho Chi Minh City
ZIP Code: 71300
Country: Viet Nam
Login Name: ngochan10
Password: han1310
Password Confirm: han1310
Privacy Policy: Checked
</t>
  </si>
  <si>
    <t>Should display an error message when the email address contains a dot before the “@” symbol.</t>
  </si>
  <si>
    <t>The system did not display any error message when the email address contained a dot before the “@” symbol.</t>
  </si>
  <si>
    <t>Bug ID TC08</t>
  </si>
  <si>
    <t>Verify that the user cannot successfully register with an invalid email address containing consecutive dots in the username part.</t>
  </si>
  <si>
    <t>1. Navigate to the registration page.
2. Enter an email address containing consecutive dots in the username part.
3. Enter valid data into the remaining fields.
4. Click “Continue” to complete registration.</t>
  </si>
  <si>
    <t xml:space="preserve">First Name: han
Last Name: ngoc
E-Mail: ngoc..han@gmail.com
Telephone: 0981049332
Fax: +84 (8) 3823 7272
Company: Finan
Address 1: 5 đường số 8
City: Thành phố Hồ Chí Minh
Region/State: Ho Chi Minh City
ZIP Code: 71300
Country: Viet Nam
Login Name: ngochan10
Password: han1310
Password Confirm: han1310
Privacy Policy: Checked
</t>
  </si>
  <si>
    <t>Should display an error message when the email address contains consecutive dots.</t>
  </si>
  <si>
    <t>The system did not display any error message when the email address contained consecutive dots.</t>
  </si>
  <si>
    <t>Bug ID TC09</t>
  </si>
  <si>
    <t>Verify that the user cannot successfully register with an invalid email address containing a hyphen immediately after the “@” symbol.</t>
  </si>
  <si>
    <t>1. Navigate to the registration page.
2. Enter an email address with a hyphen (“-”) immediately after the “@” symbol.
3. Enter valid data into the remaining fields.
4. Click “Continue” to complete registration.'</t>
  </si>
  <si>
    <t xml:space="preserve">First Name: han
Last Name: ngoc
E-Mail: ngochan@-gmail.com
Telephone: 0981049332
Fax: +84 (8) 3823 7272
Company: Finan
Address 1: 5 đường số 8
City: Thành phố Hồ Chí Minh
Region/State: Ho Chi Minh City
ZIP Code: 71300
Country: Viet Nam
Login Name: ngochan10
Password: han1310
Password Confirm: han1310
Privacy Policy: Checked
</t>
  </si>
  <si>
    <t>The system did not display any error message for the invalid email address format.</t>
  </si>
  <si>
    <t>Verify that the user cannot successfully register with an email address that already exists.</t>
  </si>
  <si>
    <t>1. Navigate to the registration page.
2. Enter an email address that has already been registered.
3. Enter valid data into the remaining fields.
4. Click “Continue” to complete registration.</t>
  </si>
  <si>
    <t xml:space="preserve">First Name: han
Last Name: ngoc
E-Mail: ngochan10@gmail.com
Telephone: 0981049332
Fax: +84 (8) 3823 7272
Company: Finan
Address 1: 5 đường số 8
City: Thành phố Hồ Chí Minh
Region/State: Ho Chi Minh City
ZIP Code: 71300
Country: Viet Nam
Login Name: ngochan1310
Password: han1310
Password Confirm: han1310
Privacy Policy: Checked
</t>
  </si>
  <si>
    <t>Should display an error message for an existing email address.</t>
  </si>
  <si>
    <t>The system displayed an error message for the existing email address.</t>
  </si>
  <si>
    <t xml:space="preserve">Verify that the user cannot successfully register with an invalid Telephone value containing letters, special characters, and more than 10 characters.
</t>
  </si>
  <si>
    <t>1. Navigate to the registration page.
2. Enter a Telephone value containing letters, special characters, and more than 10 characters.
3. Enter valid data into the remaining fields.
4. Click “Continue” to complete registration.</t>
  </si>
  <si>
    <t xml:space="preserve">First Name: han
Last Name: ngoc
E-Mail: ngochan@gmail.com
Telephone: abc@1234567
Fax: +84 (8) 3823 7272
Company: Finan
Address 1: 5 đường số 8
City: Thành phố Hồ Chí Minh
Region/State: Ho Chi Minh City
ZIP Code: 71300
Country: Viet Nam
Login Name: ngochan10
Password: han1310
Password Confirm: han1310
Privacy Policy: Checked
</t>
  </si>
  <si>
    <t>Should display an error message for an invalid Telephone value.</t>
  </si>
  <si>
    <t>The system did not display any error message for the invalid Telephone value.</t>
  </si>
  <si>
    <t>Verify that the user cannot successfully register with an invalid Fax value containing unsupported special characters.</t>
  </si>
  <si>
    <t>1. Navigate to the registration page.
2. Enter a Fax value containing letters, numbers, and unsupported special characters.
3. Enter valid data into the remaining fields.
4. Click “Continue” to complete registration.</t>
  </si>
  <si>
    <t>First Name: han
Last Name: ngoc
E-Mail: ngochan@gmail.com
Telephone: 0981049332
Fax: +84-28-!123456
Company: Finan
Address 1: 5 đường số 8
City: Thành phố Hồ Chí Minh
Region/State: Ho Chi Minh City
ZIP Code: 71300
Country: Viet Nam
Login Name: ngochan10
Password: han1310
Password Confirm: han1310
Privacy Policy: Checked</t>
  </si>
  <si>
    <t>Should display an error message for an invalid Fax value.</t>
  </si>
  <si>
    <t>The system did not display any error message for the invalid Fax value.</t>
  </si>
  <si>
    <t>Verify that the user cannot successfully register with a Fax value shorter than the required length (10–20 characters).</t>
  </si>
  <si>
    <t>1. Navigate to the registration page.
2. Enter a Fax value shorter than 10 characters.
3. Enter valid data into the remaining fields.
4. Click “Continue” to complete registration.</t>
  </si>
  <si>
    <t>First Name: han
Last Name: ngoc
E-Mail: ngochan@gmail.com
Telephone: 0981049332
Fax: +84-28-12
Company: Finan
Address 1: 5 đường số 8
City: Thành phố Hồ Chí Minh
Region/State: Ho Chi Minh City
ZIP Code: 71300
Country: Viet Nam
Login Name: ngochan10
Password: han1310
Password Confirm: han1310
Privacy Policy: Checked</t>
  </si>
  <si>
    <t>Should display an error message for an invalid Fax length.</t>
  </si>
  <si>
    <t>The system did not display any error message for the invalid Fax length.</t>
  </si>
  <si>
    <t>Verify that the user cannot successfully register with an invalid Address 1 value containing unsupported special characters.</t>
  </si>
  <si>
    <t>1. Navigate to the registration page.
2. Enter an Address 1 value containing numeric and unsupported special characters.
3. Enter valid data into the remaining fields.
4. Click “Continue” to complete registration.</t>
  </si>
  <si>
    <t>First Name: han
Last Name: ngoc
E-Mail: ngochan@gmail.com
Telephone: 0981049332
Fax: +84 (8) 3823 7272
Company: Finan
Address 1: @@ 88
City: Thành phố Hồ Chí Minh
Region/State: Ho Chi Minh City
ZIP Code: 71300
Country: Viet Nam
Login Name: ngochan10
Password: han1310
Password Confirm: han1310
Privacy Policy: Checked</t>
  </si>
  <si>
    <t>Should display an error message for an invalid Address 1 value.</t>
  </si>
  <si>
    <t>The system did not display any error message for the invalid Address 1 value.</t>
  </si>
  <si>
    <t>Verify that the user cannot successfully register with an Address 1 value exceeding the allowed length (3–128 characters).</t>
  </si>
  <si>
    <t>1. Navigate to the registration page.
2. Enter an Address 1 value longer than 128 characters.
3. Enter valid data into the remaining fields.
4. Click “Continue” to complete registration.</t>
  </si>
  <si>
    <t xml:space="preserve">First Name: han
Last Name: ngoc
E-Mail: ngochan@gmail.com
Telephone: 0981049332
Fax: ab@123
Company: Finan
Address 1: Thành phố Khu Đô Thị Mới Phức Hợp Sinh Thái Thông Minh Ven Biển Đông Nam Trường Sa – Nơi Hội Tụ Văn Hóa, Kinh Tế, Du Lịch, Giáo Dục Và Công Nghệ Cao Trong Tương Lai
City: Thành phố Hồ Chí Minh
Region/State: Ho Chi Minh City
ZIP Code: 1234
Country: Viet Nam
Login Name: ngochan10
Password: han1310
Password Confirm: han1310
Privacy Policy: Checked
</t>
  </si>
  <si>
    <t>Should display an error message when Address 1 exceeds the maximum allowed length.</t>
  </si>
  <si>
    <t>The system displayed an error message when Address 1 exceeded the allowed length.</t>
  </si>
  <si>
    <t>Verify that the user cannot successfully register with an invalid City value containing numeric and special characters.</t>
  </si>
  <si>
    <t>1. Navigate to the registration page.
2. Enter a City value containing numeric and special characters.
3. Enter valid data into the remaining fields.
4. Click “Continue” to complete registration.</t>
  </si>
  <si>
    <t xml:space="preserve">First Name: han
Last Name: ngoc
E-Mail: ngochan@gmail.com
Telephone: 0981049332
Fax: +84 (8) 3823 7272
Company: Finan
Address 1: 5 đường số 8
City: 8@#
Region/State: Ho Chi Minh City
ZIP Code: 71300
Country: Viet Nam
Login Name: ngochan10
Password: han1310
Password Confirm: han1310
Privacy Policy: Checked
</t>
  </si>
  <si>
    <t>Should display an error message for an invalid City value.</t>
  </si>
  <si>
    <t>The system did not display any error message for the invalid City value.</t>
  </si>
  <si>
    <t>Verify that the user cannot successfully register with a City value shorter than the required length (3–128 characters).</t>
  </si>
  <si>
    <t>1. Navigate to the registration page.
2. Enter a City value shorter than 3 characters.
3. Enter valid data into the remaining fields.
4. Click “Continue” to complete registration.</t>
  </si>
  <si>
    <t xml:space="preserve">First Name: han
Last Name: ngoc
E-Mail: ngochan@gmail.com
Telephone: 0981049332
Fax: +84 (8) 3823 7272
Company: Finan
Address 1: 5 đường số 8
City: Sa
Region/State: Ho Chi Minh City
ZIP Code: 71300
Country: Viet Nam
Login Name: ngochan10
Password: han1310
Password Confirm: han1310
Privacy Policy: Checked
</t>
  </si>
  <si>
    <t>Should display an error message for an invalid City length.</t>
  </si>
  <si>
    <t>The system displayed an error message for the invalid City length.</t>
  </si>
  <si>
    <t>Verify that the user cannot successfully register without selecting a Region/State value.</t>
  </si>
  <si>
    <t>1. Navigate to the registration page.
2. Leave the Region/State field unselected.
3. Enter valid data into the remaining fields.
4. Click “Continue” to complete registration.</t>
  </si>
  <si>
    <t xml:space="preserve">First Name: han
Last Name: ngoc
E-Mail: ngochan@gmail.com
Telephone: 0981049332
Fax: +84 (8) 3823 7272
Company: Finan
Address 1: 5 đường số 8
City: Thành phố Hồ Chí Minh
Region/State: Blank
ZIP Code: 71300
Country: Viet Nam
Login Name: ngochan10
Password: han1310
Password Confirm: han1310
Privacy Policy: Checked
</t>
  </si>
  <si>
    <t>Should display an error message when Region/State is not selected.</t>
  </si>
  <si>
    <t>The system displayed an error message when Region/State was not selected.</t>
  </si>
  <si>
    <t>Verify that the user cannot successfully register with an invalid ZIP Code value containing unsupported special characters.</t>
  </si>
  <si>
    <t>1. Navigate to the registration page.
2. Enter a ZIP Code value containing letters, numbers, and unsupported special characters.
3. Enter valid data into the remaining fields.
4. Click “Continue” to complete registration.</t>
  </si>
  <si>
    <t xml:space="preserve">First Name: han
Last Name: ngoc
E-Mail: ngochan@gmail.com
Telephone: 0981049332
Fax: +84 (8) 3823 7272
Company: Finan
Address 1: 5 đường số 8
City: Thành phố Hồ Chí Minh
Region/State: Ho Chi Minh City
ZIP Code: A12@@
Country: Viet Nam
Login Name: ngochan10
Password: han1310
Password Confirm: han1310
Privacy Policy: Checked
</t>
  </si>
  <si>
    <t>Should display an error message for an invalid ZIP Code value.</t>
  </si>
  <si>
    <t>The system did not display any error message for the invalid ZIP Code value.</t>
  </si>
  <si>
    <t>Verify that the user cannot successfully register with a ZIP Code value exceeding the maximum allowed length of 10 characters.</t>
  </si>
  <si>
    <t>1. Navigate to the registration page.
2. Enter a ZIP Code value longer than 10 characters using letters, numbers, and hyphens.
3. Enter valid data into the remaining fields.
4. Click “Continue” to complete registration.</t>
  </si>
  <si>
    <t xml:space="preserve">First Name: han
Last Name: ngoc
E-Mail: ngochan@gmail.com
Telephone: 0981049332
Fax: +84 (8) 3823 7272
Company: Finan
Address 1: 5 đường số 8
City: Thành phố Hồ Chí Minh
Region/State: Ho Chi Minh City
ZIP Code: ABC1234567890-121314
Country: Viet Nam
Login Name: ngochan10
Password: han1310
Password Confirm: han1310
Privacy Policy: Checked
</t>
  </si>
  <si>
    <t>Should display an error message for an invalid ZIP Code length.</t>
  </si>
  <si>
    <t>The system did not display any error message for the invalid ZIP Code length.</t>
  </si>
  <si>
    <t>Verify that the user cannot successfully register without selecting a Country value.</t>
  </si>
  <si>
    <t>with the same login name or email address.
1. Navigate to the registration page.
2. Leave the Country field unselected.
3. Enter valid data into the remaining fields.
4. Click “Continue” to complete registration.</t>
  </si>
  <si>
    <t xml:space="preserve">First Name: han
Last Name: ngoc
E-Mail: ngochan@gmail.com
Telephone: 0981049332
Fax: +84 (8) 3823 7272
Company: Finan
Address 1: 5 đường số 8
City: Thành phố Hồ Chí Minh
Region/State: Blank
ZIP Code: 71300
Country: Blank
Login Name: ngochan10
Password: han1310
Password Confirm: han1310
Privacy Policy: Checked
</t>
  </si>
  <si>
    <t>Should display an error message when Country is not selected.</t>
  </si>
  <si>
    <t>The system displayed an error message when Country was not selected.</t>
  </si>
  <si>
    <t>Verify that the user cannot successfully register with a Login Name value shorter than the required length (5–64 characters).</t>
  </si>
  <si>
    <t>1. Navigate to the registration page.
2. Enter a Login Name value shorter than 5 characters.
3. Enter valid data into the remaining fields.
4. Click “Continue” to complete registration.</t>
  </si>
  <si>
    <t xml:space="preserve">First Name: han
Last Name: ngoc
E-Mail: ngochan@gmail.com
Telephone: 0981049332
Fax: +84 (8) 3823 7272
Company: Finan
Address 1: 5 đường số 8
City: Thành phố Hồ Chí Minh
Region/State: Ho Chi Minh City
ZIP Code: 71300
Country: Viet Nam
Login Name: ha10
Password: han1310
Password Confirm: han1310
Privacy Policy: Checked
</t>
  </si>
  <si>
    <t>Should display an error message for a Login Name shorter than the required length.</t>
  </si>
  <si>
    <t>The system displayed an error message for the invalid Login Name length.</t>
  </si>
  <si>
    <t>Bug ID TC10</t>
  </si>
  <si>
    <t>Bug ID TC12</t>
  </si>
  <si>
    <t>Bug ID TC13</t>
  </si>
  <si>
    <t>Bug ID TC14</t>
  </si>
  <si>
    <t>Bug ID TC15</t>
  </si>
  <si>
    <t>Bug ID TC17</t>
  </si>
  <si>
    <t>Bug ID TC20</t>
  </si>
  <si>
    <t>Bug ID TC21</t>
  </si>
  <si>
    <t>Verify that the user cannot successfully register with a Login Name value exceeding the allowed length (5–64 characters).</t>
  </si>
  <si>
    <t>1. Navigate to the registration page.
2. Enter a Login Name value longer than 64 characters.
3. Enter valid data into the remaining fields.
4. Click “Continue” to complete registration.</t>
  </si>
  <si>
    <t xml:space="preserve">First Name: han
Last Name: ngoc
E-Mail: ngochan@gmail.com
Telephone: 0981049332
Fax: +84 (8) 3823 7272
Company: Finan
Address 1: 5 đường số 8
City: Thành phố Hồ Chí Minh
Region/State: Ho Chi Minh City
ZIP Code: 71300
Country: Viet Nam
Login Name: congtangtonnutathixuanhathutrangsangdong bonmuathuongnien_12345678910
Password: han1310
Password Confirm: han1310
Privacy Policy: Checked
</t>
  </si>
  <si>
    <t>Should display an error message for a Login Name exceeding the maximum allowed length.</t>
  </si>
  <si>
    <t>Verify that the user cannot successfully register with an invalid Login Name value containing unsupported special characters.</t>
  </si>
  <si>
    <t>1. Navigate to the registration page.
2. Enter a Login Name value containing unsupported special characters.
3. Enter valid data into the remaining fields.
4. Click “Continue” to complete registration.</t>
  </si>
  <si>
    <t xml:space="preserve">First Name: han
Last Name: ngoc
E-Mail: ngochan@gmail.com
Telephone: 0981049332
Fax: +84 (8) 3823 7272
Company: Finan
Address 1: 5 đường số 8
City: Thành phố Hồ Chí Minh
Region/State: Ho Chi Minh City
ZIP Code: 71300
Country: Viet Nam
Login Name: ngochan10@
Password: han1310
Password Confirm: han1310
Privacy Policy: Checked
</t>
  </si>
  <si>
    <t>Should display an error message for an invalid Login Name value.</t>
  </si>
  <si>
    <t>The system displayed an error message for the invalid Login Name value.</t>
  </si>
  <si>
    <t>Verify that the user cannot successfully register with a Login Name value that already exists.</t>
  </si>
  <si>
    <t>1. Navigate to the registration page.
2. Enter a Login Name value that has already been registered.
3. Enter valid data into the remaining fields.
4. Click “Continue” to complete registration.</t>
  </si>
  <si>
    <t xml:space="preserve">First Name: han
Last Name: ngoc
E-Mail: ngochan@gmail.com
Telephone: 0981049332
Fax: +84 (8) 3823 7272
Company: Finan
Address 1: 5 đường số 8
City: Thành phố Hồ Chí Minh
Region/State: Ho Chi Minh City
ZIP Code: 71300
Country: Viet Nam
Login Name: ngochan1310
Password: han1310
Password Confirm: han1310
Privacy Policy: Checked
</t>
  </si>
  <si>
    <t>Should display an error message for an existing Login Name value.</t>
  </si>
  <si>
    <t>The system displayed an error message for the existing Login Name value.</t>
  </si>
  <si>
    <t>Verify that the user cannot successfully register with a Password value exceeding the allowed length (4–20 characters).</t>
  </si>
  <si>
    <t>1. Navigate to the registration page.
2. Enter a Password value longer than 20 characters.
3. Enter valid data into the remaining fields.
4. Click “Continue” to complete registration.</t>
  </si>
  <si>
    <t xml:space="preserve">First Name: han
Last Name: ngoc
E-Mail: ngochan@gmail.com
Telephone: 0981049332
Fax: +84 (8) 3823 7272
Company: Finan
Address 1: 5 đường số 8
City: Thành phố Hồ Chí Minh
Region/State: Ho Chi Minh City
ZIP Code: 71300
Country: Viet Nam
Login Name: ngochan10@
Password: XuanHaThuTrangSangDong
Password Confirm: XuanHaThuTrangSangDong
Privacy Policy: Checked
</t>
  </si>
  <si>
    <t>Should display an error message for a Password exceeding the maximum allowed length.</t>
  </si>
  <si>
    <t>The system displayed an error message for the invalid Password length.</t>
  </si>
  <si>
    <t>Verify that the user cannot successfully register when Password Confirm does not match the Password value.</t>
  </si>
  <si>
    <t>1. Navigate to the registration page.
2. Enter a Password Confirm value that does not match the Password value.
3. Enter valid data into the remaining fields.
4. Click “Continue” to complete registration.</t>
  </si>
  <si>
    <t xml:space="preserve">First Name: han
Last Name: ngoc
E-Mail: ngochan@gmail.com
Telephone: 0981049332
Fax: +84 (8) 3823 7272
Company: Finan
Address 1: 5 đường số 8
City: Thành phố Hồ Chí Minh
Region/State: Ho Chi Minh City
ZIP Code: 71300
Country: Viet Nam
Login Name: ngochan10@
Password: han1310
Password Confirm: 1310han
Privacy Policy: Checked
</t>
  </si>
  <si>
    <t>Should display an error message when Password Confirm does not match Password.</t>
  </si>
  <si>
    <t>The system displayed an error message when Password Confirm did not match Password.</t>
  </si>
  <si>
    <t>Verify that the user cannot successfully register without accepting the Privacy Policy agreement.</t>
  </si>
  <si>
    <t>1. Navigate to the registration page.
2. Enter valid data into all required fields.
3. Do not check the “I have read and agree to the Privacy Policy” checkbox.
4. Click “Continue” to complete registration.</t>
  </si>
  <si>
    <t xml:space="preserve">First Name: han
Last Name: ngoc
E-Mail: ngochan@gmail.com
Telephone: 0981049332
Fax: +84 (8) 3823 7272
Company: Finan
Address 1: 5 đường số 8
City: Thành phố Hồ Chí Minh
Region/State: Ho Chi Minh City
ZIP Code: 71300
Country: Viet Nam
Login Name: ngochan10@
Password: han1310
Password Confirm: han1310
Privacy Policy: Unchecked
</t>
  </si>
  <si>
    <t>Should display an error message when the Privacy Policy agreement is not accepted.</t>
  </si>
  <si>
    <t>The system displayed an error message when the Privacy Policy agreement was not accepted.</t>
  </si>
  <si>
    <t>Verify that the user cannot successfully register when required fields are left blank.</t>
  </si>
  <si>
    <t>1. Navigate to the registration page.
2. Leave all required fields blank.
3. Click “Continue” to complete registration.</t>
  </si>
  <si>
    <t>First Name: Blank
Last Name: Blank
E-Mail: Blank
Telephone: Blank
Fax: Blank
Company: Blank
Address 1: Blank
City: Blank
Region/State: Blank
ZIP Code: Blank
Country: Blank
Login Name: Blank
Password: Blank
Password Confirm: Blank
Privacy Policy: Checked</t>
  </si>
  <si>
    <t>Should display error messages when required fields are left blank.</t>
  </si>
  <si>
    <t>The system displayed error messages when required fields were left blank.</t>
  </si>
  <si>
    <t>Verify that the user cannot successfully log in with a Login Name value that does not match the registered Login Name.</t>
  </si>
  <si>
    <t>A registered account already exists.</t>
  </si>
  <si>
    <t xml:space="preserve">Login Name: hanngoc
Password: han1310
</t>
  </si>
  <si>
    <t xml:space="preserve">1. Navigate to the login page.
2. Enter a Login Name value that does not match the registered Login Name.
3. Enter a valid Password value.
4. Click “Login” to complete the login process.
</t>
  </si>
  <si>
    <t>Should display an error message for an incorrect Login Name.</t>
  </si>
  <si>
    <t>The system displayed an error message for the incorrect Login Name.</t>
  </si>
  <si>
    <t>Verify that the user cannot successfully log in with a Password value that does not match the registered Password.</t>
  </si>
  <si>
    <t xml:space="preserve">1. Navigate to the login page.
2. Enter a valid Login Name value.
3. Enter a Password value that does not match the registered Password.
4. Click “Login” to complete the login process.
</t>
  </si>
  <si>
    <t>Login Name: ngochan10
Password: 101010</t>
  </si>
  <si>
    <t>Should display an error message for an incorrect Password.</t>
  </si>
  <si>
    <t>The system displayed an error message for the incorrect Password.</t>
  </si>
  <si>
    <t xml:space="preserve">AutomationTestStore Home &gt;&gt; Account &gt;&gt; Register </t>
  </si>
  <si>
    <t xml:space="preserve">AutomationTestStore Home &gt;&gt; Account Register &gt;&gt; Login </t>
  </si>
  <si>
    <t>Verify that the user cannot recover the password with a Login Name value that does not match the registered Login Name.</t>
  </si>
  <si>
    <t xml:space="preserve">1. Navigate to the login page and select “Forgot your password”.
2. Enter a Login Name value that does not match the registered Login Name.
3. Enter a valid Email value.
4. Click “Continue” to complete the process.
</t>
  </si>
  <si>
    <t>Login Name: hanhan
E-Mail: ngochan@gmail.com</t>
  </si>
  <si>
    <t>The system displayed an error message indicating that the Login Name could not be found.</t>
  </si>
  <si>
    <t>Verify that the user cannot recover the password with an Email value that does not match the registered Email address.</t>
  </si>
  <si>
    <t xml:space="preserve">1. Navigate to the login page and select “Forgot your password”.
2. Enter a valid Login Name value.
3. Enter an Email value that does not match the registered Email address.
4. Click “Continue” to complete the process.
</t>
  </si>
  <si>
    <t>Login Name: ngochan10
E-Mail: hanngoc@gmail.com</t>
  </si>
  <si>
    <t>Should display an error message for an incorrect Email address.</t>
  </si>
  <si>
    <t>The system displayed an error message indicating that the Email address could not be found.</t>
  </si>
  <si>
    <t>Verify that the user can successfully register an account with valid input data.</t>
  </si>
  <si>
    <t>1. Navigate to the account registration page.
2. Enter valid data into all required fields.
3. Click the “Continue” button to complete registration.</t>
  </si>
  <si>
    <t>Should display display a successful registration message when all valid data is entered.</t>
  </si>
  <si>
    <t>The system successfully registered the account and displayed a successful registration message.</t>
  </si>
  <si>
    <t xml:space="preserve">Login Name: ngochan10
Password: han1310
</t>
  </si>
  <si>
    <t>Verify that the user can successfully log in with a valid Login Name and Password.</t>
  </si>
  <si>
    <t xml:space="preserve">1. Navigate to the account login page.
2. Enter a valid Login Name and Password.
3. Click the “Login” button to complete the login process.
</t>
  </si>
  <si>
    <t>Should successfully log in when the correct Login Name and Password are entered.</t>
  </si>
  <si>
    <t>The system displayed the successful login result when the correct Login Name and Password were entered.</t>
  </si>
  <si>
    <t>AutomationTestStore Home &gt;&gt; Account &gt;&gt; Forgotten Login Name</t>
  </si>
  <si>
    <t>AutomationTestStore Home &gt;&gt; Account &gt;&gt; Forgotten Password</t>
  </si>
  <si>
    <t>Verify that the user cannot recover the Login Name with a Last Name value that does not match the registered Last Name.</t>
  </si>
  <si>
    <t>Last Name: ngoc ngoc
E-Mail: ngochan@gmail.com</t>
  </si>
  <si>
    <t xml:space="preserve">1. Navigate to the login page and select “Forgot your login name”.
2. Enter a Last Name value that does not match the registered Last Name.
3. Enter a valid Email value.
4. Click “Continue” to complete the process.
</t>
  </si>
  <si>
    <t>Should display an error message for an incorrect Last Name.</t>
  </si>
  <si>
    <t>The system displayed an error message indicating that the Last Name could not be found.</t>
  </si>
  <si>
    <t>Verify that the user cannot retrieve the login name with an incorrect registered email address.</t>
  </si>
  <si>
    <t>Last Name: ngoc
E-Mail: hanngoc@gmail.com</t>
  </si>
  <si>
    <t>1. Navigate to the login page and select “Forgot your login name”.
2. Enter a valid Last Name.
3. Enter an Email address that does not match the registered Email.
4. Click the “Continue” button to complete the process.</t>
  </si>
  <si>
    <t>Should display an error message when an incorrect Email address is entered.</t>
  </si>
  <si>
    <t>The system displayed an error message indicating that the entered Email address could not be found.</t>
  </si>
  <si>
    <t>AutomationTestStore Home &gt;&gt; Account &gt;&gt; Edit Information</t>
  </si>
  <si>
    <t>Verify that the user cannot update account information with an invalid First Name containing special characters</t>
  </si>
  <si>
    <t>First Name: h#
Last Name: ngoc
E-Mail: ngochan@gmail.com
Telephone: 0981049332
Fax: +84 (8) 3823 7272</t>
  </si>
  <si>
    <t xml:space="preserve">1. Navigate to My Account and select “Edit Account Details”.
2. Enter a First Name containing alphabetic and special characters.
3. Enter valid data in the remaining fields.
4. Click the “Continue” button to complete the update process.
</t>
  </si>
  <si>
    <t>Should display an error message for an invalid First Name format.</t>
  </si>
  <si>
    <t>The system did not display an error message when the First Name contained special characters.</t>
  </si>
  <si>
    <t>Bug ID TC39</t>
  </si>
  <si>
    <t>Verify that the user cannot update account information with an invalid Last Name containing numbers and special characters.</t>
  </si>
  <si>
    <t xml:space="preserve">1. Navigate to My Account and select “Edit Account Details”.
2. Enter a Last Name containing alphabetic characters, numbers, and special characters.
3. Enter valid data in the remaining fields.
4. Click the “Continue” button to complete the update process.
</t>
  </si>
  <si>
    <t>First Name: han
Last Name: 10ngoc@
E-Mail: ngochan@gmail.com
Telephone: 0981049332
Fax: +84 (8) 3823 7272</t>
  </si>
  <si>
    <t>Should display an error message for an invalid Last Name format.</t>
  </si>
  <si>
    <t>The system did not display an error message when the Last Name contained numbers and special characters.</t>
  </si>
  <si>
    <t>Bug ID TC40</t>
  </si>
  <si>
    <t>Verify that the user cannot update account information with an invalid Email address starting with a period (“.”).</t>
  </si>
  <si>
    <t xml:space="preserve">1. Navigate to My Account and select “Edit Account Details”.
2. Enter an Email address with the username starting with a period (“.”).
3. Enter valid data in the remaining fields.
4. Click the “Continue” button to complete the update process.
</t>
  </si>
  <si>
    <t xml:space="preserve">First Name: han
Last Name: ngoc
E-Mail: .ngochan@gmail.com
Telephone: 0981049332
Fax: +84 (8) 3823 7272
</t>
  </si>
  <si>
    <t>Should display an error message for an invalid Email address format.</t>
  </si>
  <si>
    <t>The system did not display an error message when the Email address started with a period (“.”).</t>
  </si>
  <si>
    <t>Bug ID TC41</t>
  </si>
  <si>
    <t>Verify that the user cannot update account information with an invalid Email address containing a period (“.”) before the “@” symbol.</t>
  </si>
  <si>
    <t xml:space="preserve">1. Navigate to My Account and select “Edit Account Details”.
2. Enter an Email address containing a period (“.”) before the “@” symbol.
3. Enter valid data in the remaining fields.
4. Click the “Continue” button to complete the update process.
</t>
  </si>
  <si>
    <t xml:space="preserve">First Name: han
Last Name: ngoc
E-Mail: ngochan.@gmail.com
Telephone: 0981049332
Fax: +84 (8) 3823 7272
</t>
  </si>
  <si>
    <t>The system did not display an error message when the Email address contained a period (“.”) before the “@” symbol.</t>
  </si>
  <si>
    <t>Bug ID TC42</t>
  </si>
  <si>
    <t>Verify that the user cannot update account information with an invalid Email address containing consecutive periods (“..”) in the username.</t>
  </si>
  <si>
    <t xml:space="preserve">1. Navigate to My Account and select “Edit Account Details”.
2. Enter an Email address containing two consecutive periods (“..”) in the username.
3. Enter valid data in the remaining fields.
4. Click the “Continue” button to complete the update process.
</t>
  </si>
  <si>
    <t xml:space="preserve">First Name: han
Last Name: ngoc
E-Mail: ngocha..n@gmail.com
Telephone: 0981049332
Fax: +84 (8) 3823 7272
</t>
  </si>
  <si>
    <t>The system did not display an error message when the Email address contained consecutive periods (“..”) in the username.</t>
  </si>
  <si>
    <t>Bug ID TC43</t>
  </si>
  <si>
    <t xml:space="preserve">Verify that the user cannot update account information with an invalid Email address containing a hyphen (“-”) immediately after the “@” symbol.
</t>
  </si>
  <si>
    <t xml:space="preserve">1. Navigate to My Account and select “Edit Account Details”.
2. Enter an Email address with a hyphen (“-”) immediately after the “@” symbol.
3. Enter valid data in the remaining fields.
4. Click the “Continue” button to complete the update process.
</t>
  </si>
  <si>
    <t>First Name: han
Last Name: ngoc
E-Mail: ngochan@-gmail.com
Telephone: 0981049332
Fax: +84 (8) 3823 7272</t>
  </si>
  <si>
    <t>The system did not display an error message when the Email address contained a hyphen (“-”) immediately after the “@” symbol.</t>
  </si>
  <si>
    <t>Bug ID TC44</t>
  </si>
  <si>
    <t>Verify that the user cannot update account information with an invalid Telephone value containing alphabetic characters.</t>
  </si>
  <si>
    <t xml:space="preserve">1. Navigate to My Account and select “Edit Account Details”.
2. Enter a Telephone value containing numbers and alphabetic characters.
3. Enter valid data in the remaining fields.
4. Click the “Continue” button to complete the update process.
</t>
  </si>
  <si>
    <t>First Name: han
Last Name: ngoc
E-Mail: ngochan@gmail.com
Telephone: abc1234xyz
Fax: +84 (8) 3823 7272</t>
  </si>
  <si>
    <t>Should display an error message for an invalid Telephone format.</t>
  </si>
  <si>
    <t>The system did not display an error message when the Telephone field contained alphabetic characters.</t>
  </si>
  <si>
    <t>Bug ID TC45</t>
  </si>
  <si>
    <t>Verify that the user cannot update account information with an invalid Telephone value exceeding the required length.</t>
  </si>
  <si>
    <t xml:space="preserve">1. Navigate to My Account and select “Edit Account Details”.
2. Enter a Telephone value exceeding 10 digits.
3. Enter valid data in the remaining fields.
4. Click the “Continue” button to complete the update process.
</t>
  </si>
  <si>
    <t>First Name: han
Last Name: ngoc
E-Mail: ngochan@gmail.com
Telephone: 09810493333
Fax: +84 (8) 3823 7272</t>
  </si>
  <si>
    <t>Should display an error message for an invalid Telephone length.</t>
  </si>
  <si>
    <t>The system did not display an error message when the Telephone value exceeded the allowed length.</t>
  </si>
  <si>
    <t>Bug ID TC46</t>
  </si>
  <si>
    <t xml:space="preserve">1. Navigate to My Account and select “Edit Account Details”.
2. Enter a Fax value containing alphabetic characters and unsupported special characters.
3. Enter valid data in the remaining fields.
4. Click the “Continue” button to complete the update process.
</t>
  </si>
  <si>
    <t>First Name: han
Last Name: ngoc
E-Mail: ngochan@gmail.com
Telephone: 0981049332
Fax: +84 (8) lulu 72@#</t>
  </si>
  <si>
    <t>Should display an error message for an invalid Fax format.</t>
  </si>
  <si>
    <t>The system did not display an error message when the Fax field contained unsupported characters.</t>
  </si>
  <si>
    <t>Bug ID TC47</t>
  </si>
  <si>
    <t xml:space="preserve">1. Navigate to My Account and select “Edit Account Details”.
2. Enter a Fax value exceeding the allowed length requirement.
3. Enter valid data in the remaining fields.
4. Click the “Continue” button to complete the update process.
</t>
  </si>
  <si>
    <t>First Name: han
Last Name: ngoc
E-Mail: ngochan@gmail.com
Telephone: 0981049332
Fax: +84 (8) 3823 72727272</t>
  </si>
  <si>
    <t>The system did not display an error message when the Fax value exceeded the allowed length requirement.</t>
  </si>
  <si>
    <t>Bug ID TC48</t>
  </si>
  <si>
    <t>AutomationTestStore Home &gt;&gt; Account &gt;&gt; Change Password</t>
  </si>
  <si>
    <t>Verify that the user cannot change the password with an invalid New Password length.</t>
  </si>
  <si>
    <t>First Name: han
Last Name: ngoc
E-Mail: ngochan@gmail.com
Telephone: 0981049332
Fax: 222</t>
  </si>
  <si>
    <t>Bug ID TC49</t>
  </si>
  <si>
    <t xml:space="preserve">Verify that the user cannot update account information with an invalid Fax value containing unsupported special characters. </t>
  </si>
  <si>
    <t>Verify that the user cannot update account information with an invalid Fax value exceeding the allowed length. (&gt;20)</t>
  </si>
  <si>
    <t>Verify that the user cannot update information with an invalid Fax value exceeding the allowed length. (&lt;10)</t>
  </si>
  <si>
    <t xml:space="preserve">1. Navigate to My Account and select “Change Password”.
2. Enter a valid Current Password.
3. Enter a one-character value in the New Password field.
4. Enter the same value in the New Password Confirm field.
5. Click the “Continue” button to complete the process.
</t>
  </si>
  <si>
    <t>Current Password: han1310
New Password: a
New Password Confirm: a</t>
  </si>
  <si>
    <t>Should display an error message for an invalid New Password length.</t>
  </si>
  <si>
    <t>The system displayed an error message when the New Password length was smaller than the required limit.</t>
  </si>
  <si>
    <t>Verify that the user cannot change the password when New Password Confirm does not match the New Password.</t>
  </si>
  <si>
    <t>Current Password: han1310
New Password: han10
New Password Confirm: 10han</t>
  </si>
  <si>
    <t xml:space="preserve">1. Navigate to My Account and select “Change Password”.
2. Enter a valid Current Password.
3. Enter “han10” in the New Password field.
4. Enter “10han” in the New Password Confirm field.
5. Click the “Continue” button to complete the process.
</t>
  </si>
  <si>
    <t>Should display an error message when New Password Confirm does not match the New Password.</t>
  </si>
  <si>
    <t>The system displayed an error message when the New Password Confirm value did not match the New Password.</t>
  </si>
  <si>
    <t>AutomationTestStore Home &gt;&gt; Account &gt;&gt; Address Book</t>
  </si>
  <si>
    <t>Verify that the user cannot update address information with an invalid First Name containing numbers and special characters.</t>
  </si>
  <si>
    <t>First Name: 89*
Last Name: ngoc
Company: Finan
Address 1: 7 đường 385
City: Thành phố Hồ Chí Minh
Region/State: Ho Chi Minh City
ZIP/Post Code: 71300
Country: Viet Nam</t>
  </si>
  <si>
    <t xml:space="preserve">1. Navigate to My Account and select “Manage Address Book”.
2. Enter a First Name containing numbers and special characters.
3. Enter valid data in the remaining fields.
4. Click the “Continue” button to complete the process.
</t>
  </si>
  <si>
    <t>The system did not display an error message when the First Name contained numbers and special characters.</t>
  </si>
  <si>
    <t>Bug ID TC52</t>
  </si>
  <si>
    <t>Verify that the user cannot update address information with an invalid Last Name value (must contain only alphabetic characters and be between 1 and 32 characters).</t>
  </si>
  <si>
    <t>First Name: tran
Last Name: 7&amp;^
Company: Finan
Address 1: 7 đường 385
City: Thành phố Hồ Chí Minh
Region/State: Ho Chi Minh City
ZIP/Post Code: 71300
Country: Viet Nam</t>
  </si>
  <si>
    <t xml:space="preserve">1. Navigate to My Account and select “Manage Address Book”.
2. Enter numeric and special characters into the Last Name field.
3. Enter valid data into the remaining fields.
4. Click the “Continue” button to complete the process.
</t>
  </si>
  <si>
    <t>Should display an error message for an invalid Last Name value.</t>
  </si>
  <si>
    <t>The system did not display an error message when an invalid Last Name value was entered.</t>
  </si>
  <si>
    <t>Bug ID TC53</t>
  </si>
  <si>
    <t>Verify that the user cannot update address information with an invalid Address 1 value (must contain only alphanumeric characters and be between 3 and 128 characters).</t>
  </si>
  <si>
    <t>1. Navigate to My Account and select “Manage Address Book”.
2. Enter alphabetic and special characters into the Address 1 field.
3. Enter valid data into the remaining fields.
4. Click the “Continue” button to complete the process.</t>
  </si>
  <si>
    <t>First Name: tran
Last Name: ngoc
Company: Finan
Address 1: xyz#
City: Thành phố Hồ Chí Minh
Region/State: Ho Chi Minh City
ZIP/Post Code: 71300
Country: Viet Nam</t>
  </si>
  <si>
    <t>The system did not display an error message when an invalid Address 1 value was entered.</t>
  </si>
  <si>
    <t>Verify that the user cannot update address information with an invalid City value (must contain only alphanumeric characters and be between 3 and 128 characters).</t>
  </si>
  <si>
    <t>1. Navigate to My Account and select “Manage Address Book”.
2. Enter numeric and special characters into the City field.
3. Enter valid data into the remaining fields.
4. Click the “Continue” button to complete the process.</t>
  </si>
  <si>
    <t xml:space="preserve">First Name: tran
Last Name: ngoc
Company: Finan
Address 1: 7 đường 385
City: @23
Region/State: Ho Chi Minh City
ZIP/Post Code: 71300
Country: Viet Nam
</t>
  </si>
  <si>
    <t>The system did not display an error message when an invalid City value was entered.</t>
  </si>
  <si>
    <t>Bug ID TC55</t>
  </si>
  <si>
    <t>Verify that the user cannot update address information with an invalid ZIP/Post Code value (must contain only alphanumeric characters, “-”, and a maximum length of 10 characters).</t>
  </si>
  <si>
    <t xml:space="preserve">1. Navigate to My Account and select “Manage Address Book”.
2. Enter alphabetic characters and the special character “+” into the ZIP/Post Code field.
3. Enter valid data into the remaining fields.
4. Click the “Continue” button to complete the process.
</t>
  </si>
  <si>
    <t>First Name: tran
Last Name: ngoc
Company: Finan
Address 1: 7 đường 385
City: Thành phố Hồ Chí Minh
Region/State: Ho Chi Minh City
ZIP/Post Code: ssd+
Country: Viet Nam</t>
  </si>
  <si>
    <t>Should display an error message for an invalid ZIP/Post Code value.</t>
  </si>
  <si>
    <t>The system did not display an error message when an invalid ZIP/Post Code value was entered.</t>
  </si>
  <si>
    <t>Bug ID TC56</t>
  </si>
  <si>
    <t xml:space="preserve">AutomationTestStore Home &gt;&gt; Account </t>
  </si>
  <si>
    <t>Verify that the user can successfully log off by clicking the “Logoff” button.</t>
  </si>
  <si>
    <t>1. Log in and navigate to My Account.
2. Click the “Logoff” button.
3. Verify that the system displays a successful logoff message.
4. Click the “Continue” button to navigate to the homepage.</t>
  </si>
  <si>
    <t>Should successfully log off and redirect the user to the homepage.</t>
  </si>
  <si>
    <t>The system successfully logged off the user and redirected to the homepage.</t>
  </si>
  <si>
    <t>AutomationTestStore Home &gt;&gt; Product Details &gt;&gt; Shopping Cart</t>
  </si>
  <si>
    <t>Test Cases for Checkout Function</t>
  </si>
  <si>
    <t>Verify that a valid product can be successfully added to the shopping cart to start the checkout process.</t>
  </si>
  <si>
    <t>The user is browsing as a guest (not logged in).</t>
  </si>
  <si>
    <t xml:space="preserve">1. Navigate to the homepage of the website.
2. Select any available product displayed on the homepage.
3. Click the product to view product details.
4. Click the “Add to Cart” button to add the product to the cart.
5. Verify that the system displays a successful add-to-cart notification.
6. Click the shopping cart icon to view cart contents.
</t>
  </si>
  <si>
    <t>Product Name: Gucci Guilty
Quantity: 1</t>
  </si>
  <si>
    <t>Should successfully add the selected product to the shopping cart and display it in the cart interface.</t>
  </si>
  <si>
    <t>The product was correctly displayed in the shopping cart with accurate price and quantity information.</t>
  </si>
  <si>
    <t>AutomationTestStore Home &gt;&gt; Shopping Cart</t>
  </si>
  <si>
    <t>Verify the functionality of updating the quantity of a product in the shopping cart.</t>
  </si>
  <si>
    <t>The shopping cart contains at least one product.</t>
  </si>
  <si>
    <t>Product Name: Gucci Guilty
Updated Quantity: 1 → 2</t>
  </si>
  <si>
    <t xml:space="preserve">1. Navigate to the homepage of the website.
2. Select and add any product to the shopping cart.
3. Open the shopping cart page.
4. Change the product quantity from 1 to 2.
5. Click the “Update” button to apply the changes.
6. Verify the updated quantity and total order value.
</t>
  </si>
  <si>
    <t>Should correctly update the product quantity and total order value.</t>
  </si>
  <si>
    <t>The product quantity and total order value were correctly updated after the change.</t>
  </si>
  <si>
    <t>Verify that the user cannot apply an invalid coupon code (incorrect, non-existing, or expired coupon code).</t>
  </si>
  <si>
    <t>Coupon: code20off</t>
  </si>
  <si>
    <t xml:space="preserve">1. Open the shopping cart page.
2. Enter an invalid coupon code into the “Coupon” field.
3. Click the “Apply Coupon” button.
</t>
  </si>
  <si>
    <t>The system should display an error message when an invalid coupon code is entered.</t>
  </si>
  <si>
    <t>The system displayed an error message indicating that the coupon code was invalid.</t>
  </si>
  <si>
    <t>Verify correct navigation to the account selection page when clicking the “Checkout” button.</t>
  </si>
  <si>
    <t>1. Click the “Checkout” button.
2. Verify the page that the system redirects to.</t>
  </si>
  <si>
    <t xml:space="preserve">N/A
</t>
  </si>
  <si>
    <t xml:space="preserve">Should display the Account Login page with two sections:
• I am a new customer: Includes “Register Account” and “Guest Checkout” options.
• Returning Customer: Allows registered users to log in for checkout.
</t>
  </si>
  <si>
    <t>The account selection page was displayed correctly as expected.</t>
  </si>
  <si>
    <t xml:space="preserve">AutomationTestStore Home &gt;&gt; Shopping Cart </t>
  </si>
  <si>
    <t>AutomationTestStore Home &gt;&gt; Shopping Cart &gt;&gt; Register Account &gt;&gt; Login</t>
  </si>
  <si>
    <t>Verify the Register Account function for new customers during the checkout process.</t>
  </si>
  <si>
    <t>The user does not have an account and shopping cart contains at least one product.</t>
  </si>
  <si>
    <t>1. In the “I am a new customer” section, select “Register Account”.
2. Click the “Continue” button.
3. Fill in all required registration information.
4. Check the Privacy Policy checkbox.
5. Click the “Continue” button to complete registration.
6. Verify that the system redirects to the next checkout step.</t>
  </si>
  <si>
    <t xml:space="preserve">First Name: han
Last Name: ngoc
E-Mail: ngochan@gmail.com
Telephone: 0981049332
Address 1: 5 đường số 8
City: Thành phố Hồ Chí Minh
Region/State: Ho Chi Minh City
Country: Viet Nam
ZIP/Post Code: 71300
Login Name: ngochan10
Password: han1310
Confirm Password: han1310
</t>
  </si>
  <si>
    <t>Should successfully create a new account and redirect the user to the next checkout step.</t>
  </si>
  <si>
    <t>The system successfully created the account and redirected the user to the next checkout page.</t>
  </si>
  <si>
    <t xml:space="preserve">AutomationTestStore Home &gt;&gt; Shopping Cart &gt;&gt; Shipping &gt;&gt; Payment &gt;&gt; Confirm </t>
  </si>
  <si>
    <t>Verify that the system navigates through the correct checkout sequence after account registration is completed.</t>
  </si>
  <si>
    <t xml:space="preserve">1. On the account creation confirmation page, click the “Continue” button.
2. Observe the page that the system redirects to.
</t>
  </si>
  <si>
    <t>Should navigate the user through the correct checkout sequence: Shipping → Payment → Confirm.</t>
  </si>
  <si>
    <t>The user has products in the cart and completed account registration</t>
  </si>
  <si>
    <t xml:space="preserve">The system skipped the intermediate steps and redirected directly to the Confirm page, preventing the user from reviewing or editing shipping and payment information before order confirmation.
</t>
  </si>
  <si>
    <t>AutomationTestStore Home &gt;&gt; Shopping Cart &gt;&gt; Register Account &gt;&gt; Login &gt;&gt; Guest Checkout Step - 1</t>
  </si>
  <si>
    <t>Verify the ability to continue the checkout process using the Guest Checkout option.</t>
  </si>
  <si>
    <t>The user is on the Account Login page.</t>
  </si>
  <si>
    <t xml:space="preserve">1. Select “Guest Checkout”.
2. Click the “Continue” button.
3. Verify that the system redirects to Guest Checkout – Step 1.
</t>
  </si>
  <si>
    <t>Account: Not logged in</t>
  </si>
  <si>
    <t>Should allow the user to continue checkout without requiring account registration.</t>
  </si>
  <si>
    <t>The shipping information page was displayed correctly.</t>
  </si>
  <si>
    <t>Verify error messages when all required fields are left blank.</t>
  </si>
  <si>
    <t>The user is on Guest Checkout – Step 1.</t>
  </si>
  <si>
    <t xml:space="preserve">1. Leave all required fields empty.
2. Click the “Continue” button to proceed.
</t>
  </si>
  <si>
    <t>All fields left blank</t>
  </si>
  <si>
    <t>Should display validation messages requiring the user to fill in all mandatory fields.</t>
  </si>
  <si>
    <t>The system displayed all required validation messages correctly.</t>
  </si>
  <si>
    <t>Verify that the system rejects a First Name value that is too short.</t>
  </si>
  <si>
    <t xml:space="preserve">1. Enter “ha” into the First Name field.
2. Enter valid data into the remaining fields.
3. Click the “Continue” button.
</t>
  </si>
  <si>
    <t xml:space="preserve">First Name: ha
Last Name: ngoc
Email: ngochan@gmail.com
Telephone: 0981049332
Fax: +84 (8) 3823 7272
Address 1: 5 đường số 8
City: Thành phố Hồ Chí Minh
Postcode: 71300
Country: VietNam
Region/State: Ho Chi Minh City
</t>
  </si>
  <si>
    <t>Should display the message: “First Name must be greater than 3 and less than 32 characters!”.</t>
  </si>
  <si>
    <t>The expected validation message was displayed correctly.</t>
  </si>
  <si>
    <t>Verify that the system rejects a Last Name value that is too short.</t>
  </si>
  <si>
    <t xml:space="preserve">1. Enter “no” into the Last Name field.
2. Enter valid data into the remaining fields.
3. Click the “Continue” button.
</t>
  </si>
  <si>
    <t xml:space="preserve">First Name: han
Last Name: no
Email: ngochan@gmail.com
Telephone: 0981049332
Fax: +84 (8) 3823 7272
Address 1: 5 đường số 8
City: Thành phố Hồ Chí Minh
Postcode: 71300
Country: VietNam
Region/State: Ho Chi Minh City
</t>
  </si>
  <si>
    <t>Should display the message: “Last Name must be greater than 3 and less than 32 characters!”.</t>
  </si>
  <si>
    <t>Verify the system response when the Email field is entered with an invalid format during checkout.</t>
  </si>
  <si>
    <t>1. Enter invalid email values such as “ngochan @@gmail”, “ngochan @mail”, or “ngochan mail.com” into the Email field.
2. Enter valid data into all remaining fields.
3. Click the “Continue” button.</t>
  </si>
  <si>
    <t xml:space="preserve">First Name: han
Last Name: ngoc
Email: “ngochan @@gmail” or “ngochan @mail” or “ngochan mail.com”
Telephone: 0981049332
Fax: +84 (8) 3823 7272
Address 1: 5 đường số 8
City: Thành phố Hồ Chí Minh
ZIP/Post Code: 71300
Country: VietNam
Region/State: Ho Chi Minh City
</t>
  </si>
  <si>
    <t>Should display the error message: “E-Mail Address does not appear to be valid!”.</t>
  </si>
  <si>
    <t>The system displayed the correct validation message when invalid email formats were entered.</t>
  </si>
  <si>
    <t>Verify the system response when the Region/State field is left blank during checkout.</t>
  </si>
  <si>
    <t xml:space="preserve">1. Enter valid data into all required fields.
2. Leave the Region/State field unselected.
3. Click the “Continue” button.
</t>
  </si>
  <si>
    <t xml:space="preserve">First Name: han
Last Name: ngoc
Email: ngochan@gmail.com
Telephone: 0981049332
Fax: +84 (8) 3823 7272
Address 1: 5 đường số 8
City: Thành phố Hồ Chí Minh
ZIP/Post Code: 71300
Country: VietNam
Region/State: Not selected
</t>
  </si>
  <si>
    <t>Should display the error message: “Please select a region / state!”.</t>
  </si>
  <si>
    <t>The system displayed the expected error message when the Region/State field was left blank.</t>
  </si>
  <si>
    <t>Verify the system response when the ZIP/Post Code value is shorter than the required length during checkout.</t>
  </si>
  <si>
    <t>1. Enter valid data into all required fields.
2. Enter “71” into the ZIP/Post Code field.
3. Click the “Continue” button</t>
  </si>
  <si>
    <t xml:space="preserve">First Name: han
Last Name: ngoc
Email: ngochan@gmail.com
Telephone: 0981049332
Fax: +84 (8) 3823 7272
Address 1: 5 đường số 8
City: Thành phố Hồ Chí Minh
ZIP/Post Code: 71
Country: VietNam
Region/State: Ho Chi Minh City
</t>
  </si>
  <si>
    <t>Should display the error message: “Zip/postal code must be between 3 and 10 characters!”.</t>
  </si>
  <si>
    <t>The system displayed the expected validation message for an invalid ZIP/Post Code length.</t>
  </si>
  <si>
    <t>Verify the system response when the Country field is left blank during checkout.</t>
  </si>
  <si>
    <t>1. Enter valid data into all required fields.
2. Leave the Country field unselected.
3. Click the “Continue” button.</t>
  </si>
  <si>
    <t xml:space="preserve">First Name: han
Last Name: ngoc
Email: ngochan@gmail.com
Telephone: 0981049332
Fax: +84 (8) 3823 7272
Address 1: 5 đường số 8
City: Thành phố Hồ Chí Minh
ZIP/Post Code: 71
Country: Not selected
Region/State: Ho Chi Minh City
</t>
  </si>
  <si>
    <t>Should display an error message requesting the user to select a Country before continuing.</t>
  </si>
  <si>
    <t>The system displayed the appropriate validation message requiring the user to select a Country.</t>
  </si>
  <si>
    <t>Verify the display of Shipping Address fields when selecting the option “Check here if you have a separate shipping address”.</t>
  </si>
  <si>
    <t xml:space="preserve">1. Select the checkbox “Check here if you have a separate shipping address”.
2. Observe the interface changes after the action.
</t>
  </si>
  <si>
    <t>Should display all Shipping Address input fields for the user to enter shipping information.</t>
  </si>
  <si>
    <t>The system displayed correctly with the expected layout and structure.</t>
  </si>
  <si>
    <t>Verify the navigation flow after the user enters all valid information at Guest Checkout – Step 1 and clicks Continue.</t>
  </si>
  <si>
    <t>The user is browsing as a guest, has added at least one product to the cart, and is currently at Guest Checkout – Step 1.</t>
  </si>
  <si>
    <t xml:space="preserve">1. Enter all required personal and address information with valid data.
2. Click the “Continue” button.
</t>
  </si>
  <si>
    <t xml:space="preserve">First Name: han
Last Name: ngoc
E-Mail: ngochan@gmail.com
Telephone: 0981049332
Fax: +84 (8) 3823 7272
Address 1: 5 đường số 8
City: Thành phố Hồ Chí Minh
ZIP/Post Code: 71300
Country: Viet Nam
Region/State: Ho Chi Minh City
</t>
  </si>
  <si>
    <t>The system should navigate to Guest Checkout – Step 2 for shipping method selection.</t>
  </si>
  <si>
    <t>The system skipped Step 2 and redirected directly to the Checkout Confirmation page, preventing the user from reviewing or modifying shipping and payment information.</t>
  </si>
  <si>
    <t>Bug ID TC73</t>
  </si>
  <si>
    <t>AutomationTestStore Home &gt;&gt; Shopping Cart &gt;&gt; Guest Checkout Step - 2</t>
  </si>
  <si>
    <t>Verify the application of an invalid coupon code during Guest Checkout – Step 2.</t>
  </si>
  <si>
    <t>The user is browsing as a guest, has at least one product in the cart, and is currently at Guest Checkout – Step 2.</t>
  </si>
  <si>
    <t xml:space="preserve">1. Enter an invalid coupon code into the Coupon field.
2. Click the “Apply Coupon” button.
</t>
  </si>
  <si>
    <t>Coupon Code: SALEOF10</t>
  </si>
  <si>
    <t>Should display the warning message: “Warning: Coupon is either invalid, expired or reached its usage limit!” and the total amount should remain unchanged.</t>
  </si>
  <si>
    <t>The system displayed the expected warning message and did not apply the invalid coupon code. The total amount remained unchanged.</t>
  </si>
  <si>
    <t>Verify the system response when the user does not agree to the Return Policy during checkout.</t>
  </si>
  <si>
    <t>The user is browsing as a guest, has completed Step 1, and is currently at Guest Checkout – Step 2.</t>
  </si>
  <si>
    <t xml:space="preserve">1. Leave the checkbox “I have read and agree to the Return Policy” unchecked.
2. Click the “Continue” button.
</t>
  </si>
  <si>
    <t>Should display the warning message: “Warning: You must agree to the Return Policy!”.</t>
  </si>
  <si>
    <t>The warning message was displayed correctly and the checkout process could not proceed to the next step.</t>
  </si>
  <si>
    <t>Verify the default shipping and payment methods selected by the system during checkout.</t>
  </si>
  <si>
    <t>The user is browsing as a guest, has entered valid information at Step 1, and is currently at Guest Checkout – Step 2.</t>
  </si>
  <si>
    <t xml:space="preserve">1. Review all displayed information and selected options.
2. Check the box “I have read and agree to the Return Policy”.
3. Click the “Continue” button.
</t>
  </si>
  <si>
    <t>Should display navigate to the Checkout Confirmation page with “Flat Shipping Rate” selected as the shipping method and “Cash On Delivery” selected as the payment method.</t>
  </si>
  <si>
    <t>The system navigated correctly to the confirmation page and displayed the expected shipping and payment methods.</t>
  </si>
  <si>
    <t>Verify the ability to add order comments during Guest Checkout – Step 2.</t>
  </si>
  <si>
    <t>The user is browsing as a guest and is currently at Guest Checkout – Step 2.</t>
  </si>
  <si>
    <t>Comment: “Vui lòng giao vào trước thứ tư tuần này.”</t>
  </si>
  <si>
    <t xml:space="preserve">1. Enter comments into the “Add Comments About Your Order” field.
2. Select Shipping Method: Flat Shipping Rate.
3. Select Payment Method: Cash On Delivery.
4. Check the box “I have read and agree to the Return Policy”.
5. Click the “Continue” button.
</t>
  </si>
  <si>
    <t>Should navigate to the Checkout Confirmation page and save/display the entered comment correctly.</t>
  </si>
  <si>
    <t>The system redirected to the confirmation page and displayed the order comment exactly as entered.</t>
  </si>
  <si>
    <t>Verify the complete display of order information at the confirmation step.</t>
  </si>
  <si>
    <t>The user is browsing as a guest and has completed all previous checkout steps.</t>
  </si>
  <si>
    <t xml:space="preserve">1. Navigate to Checkout – Step 3 (Confirm).
2. Review the information in the Shipping, Payment, and Items in Cart sections.
3. Compare the displayed order total values.
</t>
  </si>
  <si>
    <t>Two arbitrary products added from the shopping cart.</t>
  </si>
  <si>
    <t>All order information should be displayed completely, accurately, and match the previously entered or selected data.</t>
  </si>
  <si>
    <t>Verify the functionality of navigating back to Guest Checkout – Step 2 through the breadcrumb link.</t>
  </si>
  <si>
    <t>The user is currently on Checkout – Step 3 (Confirm).</t>
  </si>
  <si>
    <t>AutomationTestStore Home &gt;&gt; Shopping Cart &gt;&gt; Guest Checkout Step - 3</t>
  </si>
  <si>
    <t xml:space="preserve">1. At Checkout – Step 3, click the breadcrumb link “Guest Checkout – Step 2”.
</t>
  </si>
  <si>
    <t>Should redirect the user back to the Guest Checkout – Step 2 page.</t>
  </si>
  <si>
    <t xml:space="preserve">The system did not respond and the page was not redirected back to Guest Checkout – Step 2 after clicking the breadcrumb link.
</t>
  </si>
  <si>
    <t>Verify that clicking the Edit buttons redirects correctly to Guest Checkout – Step 2 while preserving previously entered data for editing.</t>
  </si>
  <si>
    <t>The user has completed Step 1 and Step 2 and is currently at the Confirm Order step.</t>
  </si>
  <si>
    <t xml:space="preserve">1. On the Confirm Order screen, click “Edit Shipping”.
2. Verify that the system redirects to Step 2.
3. Check whether the Shipping information is retained correctly.
4. Modify the information and continue back to the Confirm step.
5. Repeat the same actions for “Edit Payment” and “Edit Coupon”.
</t>
  </si>
  <si>
    <t>Each Edit button should redirect the user back to Guest Checkout – Step 2 while preserving all previously entered information. Updated data should be displayed correctly at the Confirm step after continuing.</t>
  </si>
  <si>
    <t>The system functioned as expected.</t>
  </si>
  <si>
    <t>Verify the Edit Cart functionality at the Confirm step and ensure the system redirects correctly to the Basket page while preserving added products.</t>
  </si>
  <si>
    <t>The user is currently at the Confirm Order step with at least one product in the shopping cart.</t>
  </si>
  <si>
    <t xml:space="preserve">1. On the Confirm Order screen, click “Edit Cart”.
2. Verify that the system redirects to the Basket page.
3. Check whether all previously added products are displayed correctly.
4. Modify the quantity or remove a product.
5. Return to the Checkout process and confirm the updated information.
</t>
  </si>
  <si>
    <t>Should display redirect correctly to the Basket page while preserving all cart products. Users should be able to modify the order, and all changes should be updated correctly when returning to Confirm Orde</t>
  </si>
  <si>
    <t>All system functions worked as expected. Product information and updates were displayed correctly after editing the cart.</t>
  </si>
  <si>
    <t>Verify the accuracy of the order total calculation.</t>
  </si>
  <si>
    <t>The shopping cart already contains two products.</t>
  </si>
  <si>
    <t xml:space="preserve">1. Ensure the cart contains the following products:
- Product 1: $105.00
- Product 2: $42.00
2. Apply the Flat Shipping Rate: $2.00.
3. At the Confirm step, verify the Sub-total, Shipping, and Total values.
</t>
  </si>
  <si>
    <t>Product 1: $105.00
Product 2: $42.00</t>
  </si>
  <si>
    <t>Sub-total should be $147.00.
Shipping should be $2.00.
Total should be $149.00.</t>
  </si>
  <si>
    <t>The system calculated all order values correctly as expected.</t>
  </si>
  <si>
    <t>Verify that the “Back” button at the Confirm step allows users to return to Guest Checkout – Step 2 and edit information.</t>
  </si>
  <si>
    <t>1. At the Confirm page, click the “Back” button (next to the “Confirm Order” button).</t>
  </si>
  <si>
    <t xml:space="preserve">The guest user has completed valid information in Guest Checkout – Step 1 and Step 2, and is currently on the Confirm page (Checkout – Step 3).
</t>
  </si>
  <si>
    <t>Should navigate back to Guest Checkout – Step 2 and retain all previously entered data such as shipping method, payment method, and coupon information for editing</t>
  </si>
  <si>
    <t>The “Back” button worked correctly, redirected to Guest Checkout – Step 2, and preserved all previously entered information.</t>
  </si>
  <si>
    <t>Verify the functionality of the “Confirm Order” button at the final step of the Guest Checkout process</t>
  </si>
  <si>
    <t>The user has completed all valid information in Step 1 and Step 2 and is currently on the Confirm Order page.</t>
  </si>
  <si>
    <t xml:space="preserve">1. On the Confirm Order page, review the following information:
• Shipping information
• Payment information
• Product list
• Total amount and shipping fee
• “I have read and agree to the Return Policy” checkbox is selected.
2. Click the “Confirm Order” button.
</t>
  </si>
  <si>
    <t xml:space="preserve">• The system should process the order successfully.
• The page should redirect to the Success page.
• The breadcrumb should display: Home &gt; Basket &gt; Guest Checkout &gt; Confirm &gt; Success.
• The Success page should contain:
+ Your Order Has Been Processed!
+ Your order has been successfully processed!
+ You can view your order details by going to the invoice page.
+ Please direct any questions you have to the store owner.
+ Thank you for shopping with us!
</t>
  </si>
  <si>
    <t>The Success page displayed correctly and the order was processed successfully.</t>
  </si>
  <si>
    <t>AutomationTestStore Home &gt;&gt; Shopping Cart &gt;&gt; Shipping &gt;&gt; Payment &gt;&gt; Confirm &gt;&gt; Success</t>
  </si>
  <si>
    <t>Verify that clicking the “store owner” link redirects users to the Contact page for support inquiries.</t>
  </si>
  <si>
    <t>1. On the Success page, locate the “store owner” hyperlink.
2. Click the “store owner” link.</t>
  </si>
  <si>
    <t xml:space="preserve">The user has successfully completed an order and is currently on the Success page displaying the message: “Please direct any questions you have to the store owner.”
</t>
  </si>
  <si>
    <t xml:space="preserve">• The browser should redirect to the Contact Us page.
• The Contact page should display a contact form containing:
+ First Name
+ Email
+ Enquiry
+ Submit button
</t>
  </si>
  <si>
    <t>The hyperlink functioned correctly and redirected to the Contact page with all required fields displayed properly.</t>
  </si>
  <si>
    <t>Verify navigation to the Invoice page through the “invoice page” link after successfully placing an order.</t>
  </si>
  <si>
    <t>The user has successfully placed an order and is currently on the Success page.</t>
  </si>
  <si>
    <t xml:space="preserve">1. On the Success page, click the “invoice page” link in the sentence: “You can view your order details by going to the invoice page.”
</t>
  </si>
  <si>
    <t xml:space="preserve">• The browser should navigate to the Invoice page.
• The Invoice page should display complete order details including:
+ Order ID
+ Status
+ Email
+ Telephone
+ Shipping Method and Payment Method
+ Shipping Address and Payment Address
+ Product list with prices and total amount
+ Order History
</t>
  </si>
  <si>
    <t>The system redirected correctly to the Invoice page and displayed accurate order information.</t>
  </si>
  <si>
    <t xml:space="preserve">AutomationTestStore Home &gt;&gt; Account &gt;&gt; Order History &gt;&gt; Invoice </t>
  </si>
  <si>
    <t>Verify the accuracy of buyer information fields displayed on the Invoice page.</t>
  </si>
  <si>
    <t>The user has successfully completed an order using valid information.</t>
  </si>
  <si>
    <t xml:space="preserve">1. Navigate to the Invoice page.
2. Verify the following information:
• Order ID
• Email
• Telephone number
• Shipping Address
• Payment Address
• Order status
</t>
  </si>
  <si>
    <t>Should display information should match the data entered during the Checkout process.</t>
  </si>
  <si>
    <t>All information fields were displayed accurately according to the submitted order data.</t>
  </si>
  <si>
    <t>Verify the accuracy of product information displayed on the invoice.</t>
  </si>
  <si>
    <t>The order contains at least one product.</t>
  </si>
  <si>
    <t xml:space="preserve">1. Navigate to the Invoice page.
2. Verify and compare the product list table including:
• Product Name
• Model
• Quantity
• Unit Price
• Total
</t>
  </si>
  <si>
    <t>The products were displayed accurately as expected.</t>
  </si>
  <si>
    <t>Product information should be displayed correctly and match the data in the shopping cart at the time of placing the order.</t>
  </si>
  <si>
    <t>Verify that the order total amount is calculated correctly.</t>
  </si>
  <si>
    <t xml:space="preserve">1. Navigate to the Invoice page.
2. Verify the following values:
• Sub-total
• Flat Shipping Rate
• Total Amount
</t>
  </si>
  <si>
    <t>Total Amount = Sub-total + Flat Shipping Rate.</t>
  </si>
  <si>
    <t>The system calculated the values correctly.</t>
  </si>
  <si>
    <t>Verify the display of order creation time, processing status, and customer comments.</t>
  </si>
  <si>
    <t>The order has been created and its status is stored in the system.</t>
  </si>
  <si>
    <t xml:space="preserve">1. Navigate to the Invoice page.
2. Review the information in the Order History section.
</t>
  </si>
  <si>
    <t xml:space="preserve">The Order History section should display complete information including order creation date, status (Pending, Confirmed, etc.), and customer comments (if any)
</t>
  </si>
  <si>
    <t>The system displayed all required information accurately.</t>
  </si>
  <si>
    <t>Verify whether clicking the “Print” button opens the browser’s default print window.</t>
  </si>
  <si>
    <t>The user is currently on the Invoice page.</t>
  </si>
  <si>
    <t xml:space="preserve">1. Navigate to the Invoice page.
2. Click the “Print” button.
</t>
  </si>
  <si>
    <t>The browser should display the Print Preview screen, allowing users to select a printer, paper format, and print normally.</t>
  </si>
  <si>
    <t xml:space="preserve">The Print Preview window displayed correctly and allowed successful printing to PDF or printer devices.
</t>
  </si>
  <si>
    <t>Verify that the print interface displays the invoice in a proper printable document format.</t>
  </si>
  <si>
    <t>The user is currently on the Invoice (Order Details) page with a valid order containing complete information.</t>
  </si>
  <si>
    <t xml:space="preserve">1. Scroll to the bottom of the Invoice page and click the “Print” button.
2. Observe the Print Preview window.
3. Compare the displayed content in the print preview.
</t>
  </si>
  <si>
    <t xml:space="preserve">The printed document should follow a standard invoice format:
• Clear invoice layout.
• Print-friendly structure without sidebars, menus, or navigation bars.
• Focus only on order information, customer details, products, and total amount.
• Suitable for shipping or record-keeping purposes.
</t>
  </si>
  <si>
    <t>The print preview displayed the entire webpage layout, including menus, navigation bars, action buttons, and background elements, instead of a standard invoice format.</t>
  </si>
  <si>
    <t>Verify that clicking the “Continue” button on the Order Details (Invoice) page redirects the user back to the Homepage for further shopping.</t>
  </si>
  <si>
    <t>The user has successfully completed the checkout process and is currently on the Invoice (Order Details) page.</t>
  </si>
  <si>
    <t>1. Scroll to the bottom of the Invoice page.
2. Click the “Continue” button.</t>
  </si>
  <si>
    <t xml:space="preserve">• The system should redirect the user to the Homepage.
• Homepage components such as product categories, banners, and search bar should display normally.
• The user should be able to continue shopping activities such as adding products to cart or searching for new products.
</t>
  </si>
  <si>
    <t>• The “Continue” button functioned correctly.
• The Homepage was displayed normally.
• No errors or incorrect redirections occurred.</t>
  </si>
  <si>
    <t>Test Cases for Check Your Order Function</t>
  </si>
  <si>
    <t>AutomationTestStore Home &gt;&gt; Account &gt;&gt; Order History</t>
  </si>
  <si>
    <t>Verify the “Check Your Order” function for guest users with valid Order ID and Email information.</t>
  </si>
  <si>
    <t>AutomationTestStore Home &gt;&gt; Account &gt;&gt; Order Details</t>
  </si>
  <si>
    <t>The user is not logged into the system and has previously placed an order with a valid Order ID and Email.</t>
  </si>
  <si>
    <t xml:space="preserve">1. Navigate to the “Order Details” page.
2. Enter the following information:
• Order ID
• E-Mail
3. Click “Continue” to complete the process.
</t>
  </si>
  <si>
    <t>• Order ID: 60530
• E-Mail: ngochan@gmail.com</t>
  </si>
  <si>
    <t>The system should display complete order details including:
• Order ID
• Email
• Telephone number
• Shipping Address
• Payment Address
• Order History</t>
  </si>
  <si>
    <t>The Order Details page displayed accurately and all information matched the previously placed order data.</t>
  </si>
  <si>
    <t>Verify the display of order history when a logged-in user accesses the “My Order History” section.</t>
  </si>
  <si>
    <t>The user has logged into the system with an account that contains purchase history.</t>
  </si>
  <si>
    <t xml:space="preserve">1. Log in using a valid account.
2. Hover over the “Account” menu and select “Check your order”.
</t>
  </si>
  <si>
    <t xml:space="preserve">The system should display the order list with complete information including:
• Order ID
• Status
• Date Added
• Customer
• Product Count
• Total Price
If the number of orders exceeds 10, pagination should be displayed.
</t>
  </si>
  <si>
    <t>The order list was displayed correctly, and all information such as Order ID, status, product quantity, and total price matched the stored data.</t>
  </si>
  <si>
    <t>Verify the display of the number of orders per page and the pagination functionality.</t>
  </si>
  <si>
    <t>The user is logged in and has more than 10 orders in the account.</t>
  </si>
  <si>
    <t xml:space="preserve">1. Open the “Order History” section.
2. Review the displayed order list.
3. Navigate to the next page using the pagination function.
</t>
  </si>
  <si>
    <t>Each page should display exactly 10 orders. Pagination controls should be available and function correctly when navigating between pages.</t>
  </si>
  <si>
    <t>The system displayed 10 orders per page, and the pagination feature worked correctly with accurate data shown on each page.</t>
  </si>
  <si>
    <t>Verify that clicking the “View” button for an order in Order History redirects to the correct order detail page.</t>
  </si>
  <si>
    <t>The user has successfully logged in and has at least one order in Order History.</t>
  </si>
  <si>
    <t xml:space="preserve">1. Log in using a valid account.
2. Navigate to the “Order History” page from the Account section.
3. Select any order from the list and click the “View” button.
4. Observe the result after the action.
</t>
  </si>
  <si>
    <t>Order ID: #60530
Status: Pending
Total: $32.50</t>
  </si>
  <si>
    <t xml:space="preserve">The system should redirect to the Invoice Order Details page and display accurate information including:
• Order ID
• Date Added
• Customer Name
• Shipping Address
• Payment Method
• Product List and Total Amount
</t>
  </si>
  <si>
    <t>The system redirected to the correct Invoice Order Details page, and all information for order #60530 was displayed completely and accurately.</t>
  </si>
  <si>
    <t>Verify that the system displays the correct number of orders based on the selected value in the “Per Page” dropdown.</t>
  </si>
  <si>
    <t>The user has logged in using a valid account.</t>
  </si>
  <si>
    <t xml:space="preserve">1. Log in using a valid account.
2. Navigate to the Order History page.
3. In the “Per Page” dropdown, select the following values one by one: 10, 20, 30, 40, 50.
4. Observe the number of displayed orders and compare them with the selected values.
</t>
  </si>
  <si>
    <t>Total Orders: 21
Per Page values: 10, 20, 30, 40, 50</t>
  </si>
  <si>
    <t>The number of displayed orders should match the selected value in the “Per Page” dropdown.</t>
  </si>
  <si>
    <t xml:space="preserve">• Selecting 10 displayed the first 10 orders with pagination “1 - 10 of 21” and a next-page button.
• Selecting 20 displayed the first 20 orders with pagination “1 - 20 of 21” and a next-page button.
• Selecting 30 displayed all 21 orders without pagination.
• Selecting 40 displayed all 21 orders without pagination.
• Selecting 50 displayed all 21 orders without pagination.
</t>
  </si>
  <si>
    <t>Test Cases for Contact Us Function</t>
  </si>
  <si>
    <t>AutomationTestStore Home &gt;&gt; Contact Us</t>
  </si>
  <si>
    <t>Verify that the system displays an error message when the user submits the “Contact Us” form with an invalid First Name containing numbers and special characters.</t>
  </si>
  <si>
    <t>The user is on the homepage and has access to the Contact Us page</t>
  </si>
  <si>
    <t>First Name: haha#10
E-Mail: ngochan@gmail.com
Enquiry: I would like more consultation about MAC lipstick products.</t>
  </si>
  <si>
    <t>Should display an error message indicating that the First Name format is invalid.</t>
  </si>
  <si>
    <t>The system did not display any validation error when the First Name field contained invalid characters.</t>
  </si>
  <si>
    <t>Verify that the system displays an error message when the user submits the “Contact Us” form with a First Name shorter than the required length.</t>
  </si>
  <si>
    <t>First Name: ha
E-Mail: ngochan@gmail.com
Enquiry: I would like more consultation about MAC lipstick products.</t>
  </si>
  <si>
    <t>Should display an error message indicating that the First Name length is invalid.</t>
  </si>
  <si>
    <t>The system correctly displayed an error message when the First Name length was shorter than the required minimum</t>
  </si>
  <si>
    <t>Verify that the system displays an error message when the user submits the “Contact Us” form with an invalid E-Mail address missing the “@” symbol.</t>
  </si>
  <si>
    <t xml:space="preserve">1. Navigate to the homepage of the homepage of the website.
2. Scroll to the footer and click “Contact Us”.
3. Enter valid data into the First Name and Enquiry fields.
4. Enter an invalid E-Mail address without the “@” symbol.
5. Click the “Submit” button.
</t>
  </si>
  <si>
    <t xml:space="preserve">1. Navigate to the homepage of the website.
2. Scroll to the footer and click “Contact Us”.
3. Enter a two-character value into the First Name field.
4. Enter valid data into the E-Mail and Enquiry fields.
5. Click the “Submit” button.
</t>
  </si>
  <si>
    <t xml:space="preserve">1. Navigate to the homepage of the .
2. Scroll to the footer and click “Contact Us”.
3. Enter invalid data containing letters, numbers, and special characters into the First Name field.
4. Enter valid data into the E-Mail and Enquiry fields.
5. Click the “Submit” button.
</t>
  </si>
  <si>
    <t>First Name: han
E-Mail: ngochangmail.com
Enquiry: I would like more consultation about MAC lipstick products.</t>
  </si>
  <si>
    <t>Should display an error message indicating that the E-Mail format is invalid.</t>
  </si>
  <si>
    <t>The system correctly displayed an error message when the E-Mail address format was invalid.</t>
  </si>
  <si>
    <t>Verify that the system displays an error message when the user submits the “Contact Us” form with an invalid E-Mail address containing multiple “@” symbols.</t>
  </si>
  <si>
    <t xml:space="preserve">1. Navigate to the homepage of the homepage of the website.
2. Scroll to the footer and click “Contact Us”.
3. Enter valid data into the First Name and Enquiry fields.
4. Enter an invalid E-Mail address containing multiple “@” symbols.
5. Click the “Submit” button.
</t>
  </si>
  <si>
    <t>First Name: han
E-Mail: ngoc@han@gmail.com
Enquiry: I would like more consultation about MAC lipstick products.</t>
  </si>
  <si>
    <t>The system displayed an error message when the E-Mail address contained multiple “@” symbols.</t>
  </si>
  <si>
    <t>Verify that the system displays an error message when the user submits the “Contact Us” form with an invalid E-Mail address starting with a dot in the username part.</t>
  </si>
  <si>
    <t xml:space="preserve">1. Navigate to the homepage of the homepage of the website.
2. Scroll to the footer and click “Contact Us”.
3. Enter valid data into the First Name and Enquiry fields.
4. Enter an E-Mail address starting with a dot in the username section.
5. Click the “Submit” button.
</t>
  </si>
  <si>
    <t>First Name: han
E-Mail: .ngochan@gmail.com
Enquiry: I would like more consultation about MAC lipstick products.</t>
  </si>
  <si>
    <t>The system did not display any validation error when the E-Mail address started with a dot.</t>
  </si>
  <si>
    <t>Verify that the system displays an error message when the user submits the “Contact Us” form with an invalid E-Mail address containing multiple consecutive dots in the username part.</t>
  </si>
  <si>
    <t xml:space="preserve">1. Navigate to the homepage of the homepage of the website.
2. Scroll to the footer and click “Contact Us”.
3. Enter valid data into the First Name and Enquiry fields.
4. Enter an E-Mail address containing multiple consecutive dots in the username section.
5. Click the “Submit” button.
</t>
  </si>
  <si>
    <t>First Name: han
E-Mail: ngoc..han@gmail.com
Enquiry: I would like more consultation about MAC lipstick products.</t>
  </si>
  <si>
    <t>The system did not display any validation error when the E-Mail address contained multiple consecutive dots.</t>
  </si>
  <si>
    <t>Bug ID TC104</t>
  </si>
  <si>
    <t>Verify that the system displays an error message when the user submits the “Contact Us” form with an invalid E-Mail address containing a hyphen immediately after “@”.</t>
  </si>
  <si>
    <t xml:space="preserve">1. Navigate to the homepage of the homepage of the website.
2. Scroll to the footer and click “Contact Us”.
3. Enter valid data into the First Name and Enquiry fields.
4. Enter an E-Mail address with a hyphen immediately after “@”.
5. Click the “Submit” button.
</t>
  </si>
  <si>
    <t>First Name: han
E-Mail: ngochan@-gmail.com
Enquiry: I would like more consultation about MAC lipstick products.</t>
  </si>
  <si>
    <t>The system did not display any validation error when the E-Mail address contained a hyphen immediately after “@”.</t>
  </si>
  <si>
    <t>Bug ID TC105</t>
  </si>
  <si>
    <t>Verify that the system displays an error message when the user submits the “Contact Us” form with invalid characters in the Enquiry field.</t>
  </si>
  <si>
    <t>First Name: han
E-Mail: ngochan@gmail.com
Enquiry: ^[a-zA-Z0-9 .,!?;:'"()@#&amp;%$_/-]{10,1000}$</t>
  </si>
  <si>
    <t>Should display an error message indicating that the Enquiry content is invalid.</t>
  </si>
  <si>
    <t xml:space="preserve">1. Navigate to the homepage of the homepage of the website.
2. Scroll to the footer and click “Contact Us”.
3. Enter valid data into the First Name and E-Mail fields.
4. Enter invalid special characters into the Enquiry field.
5. Click the “Submit” button.
</t>
  </si>
  <si>
    <t>The system did not display any validation error when invalid characters were entered into the Enquiry field.</t>
  </si>
  <si>
    <t>Bug ID TC106</t>
  </si>
  <si>
    <t>Verify that the system displays an error message when the user submits the “Contact Us” form with an Enquiry value shorter than the required minimum length.</t>
  </si>
  <si>
    <t>First Name: han
E-Mail: ngochan@gmail.com
Enquiry: Tôi 10</t>
  </si>
  <si>
    <t xml:space="preserve">1. Navigate to the homepage of the homepage of the website.
2. Scroll to the footer and click “Contact Us”.
3. Enter valid data into the First Name and E-Mail fields.
4. Enter a short Enquiry value containing only 5 characters.
5. Click the “Submit” button.
</t>
  </si>
  <si>
    <t>Should display an error message indicating that the Enquiry length is invalid.</t>
  </si>
  <si>
    <t>The system did not display any validation error when the Enquiry length was shorter than the required minimum.</t>
  </si>
  <si>
    <t>Bug ID TC107</t>
  </si>
  <si>
    <t>Verify that the system displays validation error messages when the user submits the “Contact Us” form with all required fields left blank.</t>
  </si>
  <si>
    <t xml:space="preserve">1. Navigate to the homepage of the homepage of the website.
2. Scroll to the footer and click “Contact Us”.
3. Leave the First Name, E-Mail, and Enquiry fields blank.
4. Click the “Submit” button.
</t>
  </si>
  <si>
    <t>First Name: Blank
E-Mail: Blank
Enquiry: Blank</t>
  </si>
  <si>
    <t>Should display validation error messages indicating that all required fields must be filled in.</t>
  </si>
  <si>
    <t>The system correctly displayed validation error messages when all required fields were left blank.</t>
  </si>
  <si>
    <t>Verify that the system displays an error message when the user submits the “Contact Us” form using a registered E-Mail address with a mismatched First Name.</t>
  </si>
  <si>
    <t>1. Navigate to the homepage of the homepage of the website.
2. Scroll to the footer and click “Contact Us”.
3. Enter a First Name that does not match the registered account information.
4. Enter valid data into the E-Mail and Enquiry fields.
5. Click the “Submit” button.</t>
  </si>
  <si>
    <t>First Name: hello
E-Mail: ngochan@gmail.com
Enquiry: I would like more consultation about this toner product.</t>
  </si>
  <si>
    <t>A registered account already exists in the system.</t>
  </si>
  <si>
    <t>Should display an error message indicating that the First Name does not match the registered account information.</t>
  </si>
  <si>
    <t>The system did not display any validation error when the First Name did not match the registered account associated with the E-Mail address.</t>
  </si>
  <si>
    <t xml:space="preserve"> 141.0.3537.71</t>
  </si>
  <si>
    <t>Microsoft Edge</t>
  </si>
  <si>
    <t>Bug ID TC110</t>
  </si>
  <si>
    <t>Bug ID TC108</t>
  </si>
  <si>
    <t>Bug ID TC100</t>
  </si>
  <si>
    <t>Bug ID TC93</t>
  </si>
  <si>
    <t>Bug ID TC57</t>
  </si>
  <si>
    <t>Failed</t>
  </si>
  <si>
    <t>Passed</t>
  </si>
  <si>
    <t>passed</t>
  </si>
  <si>
    <t>failed</t>
  </si>
  <si>
    <t>Bug ID TC64</t>
  </si>
  <si>
    <t>Bug ID TC80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</si>
</sst>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0"/>
      <color rgb="FF000000"/>
      <name val="Verdana"/>
      <family val="2"/>
    </font>
    <font>
      <b/>
      <sz val="10"/>
      <color rgb="FF000000"/>
      <name val="Arial"/>
      <family val="2"/>
    </font>
    <font>
      <b/>
      <sz val="10"/>
      <color rgb="FF000000"/>
      <name val="Verdana"/>
      <family val="2"/>
    </font>
    <font>
      <b/>
      <sz val="11"/>
      <color rgb="FFFF0000"/>
      <name val="Calibri"/>
      <family val="2"/>
      <scheme val="minor"/>
    </font>
    <font>
      <b/>
      <sz val="11"/>
      <color rgb="FF0000FF"/>
      <name val="Calibri"/>
      <family val="2"/>
      <scheme val="minor"/>
    </font>
    <font>
      <b/>
      <sz val="11"/>
      <color rgb="FF00B050"/>
      <name val="Calibri"/>
      <family val="2"/>
      <scheme val="minor"/>
    </font>
    <font>
      <b/>
      <sz val="11"/>
      <color rgb="FFFF00FF"/>
      <name val="Calibri"/>
      <family val="2"/>
      <scheme val="minor"/>
    </font>
    <font>
      <sz val="10"/>
      <color theme="6" tint="0.59999389629810485"/>
      <name val="Verdana"/>
      <family val="2"/>
    </font>
    <font>
      <sz val="10"/>
      <color theme="1"/>
      <name val="Verdana"/>
      <family val="2"/>
    </font>
    <font>
      <sz val="9.5"/>
      <color theme="1"/>
      <name val="Calibri"/>
      <family val="2"/>
      <scheme val="minor"/>
    </font>
    <font>
      <sz val="8"/>
      <name val="Calibri"/>
      <family val="2"/>
      <scheme val="minor"/>
    </font>
  </fonts>
  <fills count="9">
    <fill>
      <patternFill patternType="none"/>
    </fill>
    <fill>
      <patternFill patternType="gray125"/>
    </fill>
    <fill>
      <patternFill patternType="solid">
        <fgColor theme="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3" fillId="0" borderId="0" xfId="0" applyFont="1" applyAlignment="1">
      <alignment horizontal="center" vertical="center" wrapText="1"/>
    </xf>
    <xf numFmtId="0" fontId="0" fillId="0" borderId="0" xfId="0" applyAlignment="1">
      <alignment wrapText="1"/>
    </xf>
    <xf numFmtId="0" fontId="0" fillId="0" borderId="0" xfId="0" applyAlignment="1">
      <alignment vertical="top" wrapText="1"/>
    </xf>
    <xf numFmtId="0" fontId="7" fillId="0" borderId="1" xfId="0" applyFont="1" applyBorder="1"/>
    <xf numFmtId="0" fontId="5" fillId="0" borderId="1" xfId="0" applyFont="1" applyBorder="1"/>
    <xf numFmtId="0" fontId="6" fillId="0" borderId="1" xfId="0" applyFont="1" applyBorder="1"/>
    <xf numFmtId="0" fontId="8" fillId="0" borderId="1" xfId="0" applyFont="1" applyBorder="1"/>
    <xf numFmtId="0" fontId="1" fillId="3" borderId="1" xfId="0" applyFont="1" applyFill="1" applyBorder="1" applyAlignment="1">
      <alignment horizontal="center"/>
    </xf>
    <xf numFmtId="0" fontId="0" fillId="0" borderId="0" xfId="0" applyBorder="1"/>
    <xf numFmtId="0" fontId="10" fillId="0" borderId="0" xfId="0" applyFont="1" applyBorder="1"/>
    <xf numFmtId="0" fontId="9" fillId="2" borderId="0" xfId="0" applyFont="1" applyFill="1" applyBorder="1"/>
    <xf numFmtId="0" fontId="10" fillId="7" borderId="0" xfId="0" applyFont="1" applyFill="1" applyBorder="1"/>
    <xf numFmtId="0" fontId="2" fillId="8"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 fillId="4" borderId="0" xfId="0" applyFont="1" applyFill="1" applyAlignment="1">
      <alignment vertical="top" wrapText="1"/>
    </xf>
    <xf numFmtId="0" fontId="11" fillId="0" borderId="0" xfId="0" applyFont="1" applyAlignment="1">
      <alignment horizontal="center" vertical="center" wrapText="1"/>
    </xf>
    <xf numFmtId="0" fontId="11" fillId="0" borderId="0" xfId="0" applyFont="1" applyAlignment="1">
      <alignment horizontal="center" vertical="center"/>
    </xf>
    <xf numFmtId="0" fontId="11" fillId="0" borderId="0" xfId="0" applyFont="1"/>
    <xf numFmtId="0" fontId="1" fillId="0" borderId="0" xfId="0" applyFont="1" applyAlignment="1">
      <alignment horizontal="left" vertical="top" wrapText="1"/>
    </xf>
    <xf numFmtId="0" fontId="0" fillId="0" borderId="0" xfId="0" applyAlignment="1">
      <alignment vertical="top"/>
    </xf>
    <xf numFmtId="0" fontId="0" fillId="0" borderId="0" xfId="0" applyFont="1" applyAlignment="1">
      <alignment horizontal="left" vertical="top" wrapText="1"/>
    </xf>
    <xf numFmtId="0" fontId="0" fillId="0" borderId="0" xfId="0" applyAlignment="1">
      <alignment horizontal="left" vertical="top" wrapText="1"/>
    </xf>
    <xf numFmtId="0" fontId="2" fillId="5"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1" fillId="0" borderId="0" xfId="0" applyFont="1" applyAlignment="1">
      <alignment horizontal="center" vertical="top" wrapText="1"/>
    </xf>
    <xf numFmtId="0" fontId="0" fillId="0" borderId="0" xfId="0" applyAlignment="1">
      <alignment horizontal="center"/>
    </xf>
    <xf numFmtId="0" fontId="1" fillId="3" borderId="1" xfId="0" applyFont="1" applyFill="1" applyBorder="1" applyAlignment="1">
      <alignment horizontal="center"/>
    </xf>
  </cellXfs>
  <cellStyles count="1">
    <cellStyle name="Normal" xfId="0" builtinId="0"/>
  </cellStyles>
  <dxfs count="20">
    <dxf>
      <font>
        <b/>
        <i val="0"/>
        <color rgb="FFFF00FF"/>
      </font>
    </dxf>
    <dxf>
      <font>
        <b/>
        <i val="0"/>
        <color rgb="FF009900"/>
      </font>
      <fill>
        <patternFill patternType="none">
          <bgColor auto="1"/>
        </patternFill>
      </fill>
    </dxf>
    <dxf>
      <font>
        <b/>
        <i val="0"/>
        <color rgb="FF0000FF"/>
      </font>
    </dxf>
    <dxf>
      <font>
        <b/>
        <i val="0"/>
        <color rgb="FFFF0000"/>
      </font>
    </dxf>
    <dxf>
      <font>
        <b/>
        <i val="0"/>
        <color rgb="FFFF00FF"/>
      </font>
    </dxf>
    <dxf>
      <font>
        <b/>
        <i val="0"/>
        <color rgb="FF009900"/>
      </font>
      <fill>
        <patternFill patternType="none">
          <bgColor auto="1"/>
        </patternFill>
      </fill>
    </dxf>
    <dxf>
      <font>
        <b/>
        <i val="0"/>
        <color rgb="FF0000FF"/>
      </font>
    </dxf>
    <dxf>
      <font>
        <b/>
        <i val="0"/>
        <color rgb="FFFF0000"/>
      </font>
    </dxf>
    <dxf>
      <font>
        <b/>
        <i val="0"/>
        <color rgb="FFFF00FF"/>
      </font>
    </dxf>
    <dxf>
      <font>
        <b/>
        <i val="0"/>
        <color rgb="FF009900"/>
      </font>
      <fill>
        <patternFill patternType="none">
          <bgColor auto="1"/>
        </patternFill>
      </fill>
    </dxf>
    <dxf>
      <font>
        <b/>
        <i val="0"/>
        <color rgb="FF0000FF"/>
      </font>
    </dxf>
    <dxf>
      <font>
        <b/>
        <i val="0"/>
        <color rgb="FFFF0000"/>
      </font>
    </dxf>
    <dxf>
      <font>
        <b/>
        <i val="0"/>
        <color rgb="FFFF00FF"/>
      </font>
    </dxf>
    <dxf>
      <font>
        <b/>
        <i val="0"/>
        <color rgb="FF009900"/>
      </font>
      <fill>
        <patternFill patternType="none">
          <bgColor auto="1"/>
        </patternFill>
      </fill>
    </dxf>
    <dxf>
      <font>
        <b/>
        <i val="0"/>
        <color rgb="FF0000FF"/>
      </font>
    </dxf>
    <dxf>
      <font>
        <b/>
        <i val="0"/>
        <color rgb="FFFF0000"/>
      </font>
    </dxf>
    <dxf>
      <font>
        <b/>
        <i val="0"/>
        <color rgb="FFFF00FF"/>
      </font>
    </dxf>
    <dxf>
      <font>
        <b/>
        <i val="0"/>
        <color rgb="FF009900"/>
      </font>
      <fill>
        <patternFill patternType="none">
          <bgColor auto="1"/>
        </patternFill>
      </fill>
    </dxf>
    <dxf>
      <font>
        <b/>
        <i val="0"/>
        <color rgb="FF0000FF"/>
      </font>
    </dxf>
    <dxf>
      <font>
        <b/>
        <i val="0"/>
        <color rgb="FFFF0000"/>
      </font>
    </dxf>
  </dxfs>
  <tableStyles count="0" defaultTableStyle="TableStyleMedium2" defaultPivotStyle="PivotStyleLight16"/>
  <colors>
    <mruColors>
      <color rgb="FFFF00FF"/>
      <color rgb="FF0000FF"/>
      <color rgb="FFCC0099"/>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6"/>
  <sheetViews>
    <sheetView zoomScale="95" zoomScaleNormal="120" workbookViewId="0">
      <selection activeCell="C22" sqref="C22"/>
    </sheetView>
  </sheetViews>
  <sheetFormatPr defaultRowHeight="14.25" x14ac:dyDescent="0.45"/>
  <cols>
    <col min="1" max="1" width="12.265625" bestFit="1" customWidth="1"/>
    <col min="2" max="2" width="30.1328125" style="9" bestFit="1" customWidth="1"/>
    <col min="3" max="3" width="50" bestFit="1" customWidth="1"/>
    <col min="4" max="4" width="19" bestFit="1" customWidth="1"/>
    <col min="5" max="5" width="41.3984375" customWidth="1"/>
    <col min="6" max="6" width="27.1328125" bestFit="1" customWidth="1"/>
    <col min="7" max="7" width="12.3984375" customWidth="1"/>
    <col min="8" max="8" width="13.265625" customWidth="1"/>
    <col min="10" max="10" width="11.73046875" bestFit="1" customWidth="1"/>
    <col min="11" max="11" width="10.73046875" bestFit="1" customWidth="1"/>
  </cols>
  <sheetData>
    <row r="2" spans="2:5" x14ac:dyDescent="0.45">
      <c r="B2" s="11" t="s">
        <v>14</v>
      </c>
      <c r="C2" s="12" t="s">
        <v>38</v>
      </c>
      <c r="D2" s="11" t="s">
        <v>11</v>
      </c>
      <c r="E2" s="12"/>
    </row>
    <row r="3" spans="2:5" x14ac:dyDescent="0.45">
      <c r="B3" s="10"/>
      <c r="C3" s="10"/>
      <c r="D3" s="10"/>
      <c r="E3" s="10"/>
    </row>
    <row r="4" spans="2:5" x14ac:dyDescent="0.45">
      <c r="B4" s="11" t="s">
        <v>15</v>
      </c>
      <c r="C4" s="12" t="s">
        <v>37</v>
      </c>
      <c r="D4" s="11" t="s">
        <v>16</v>
      </c>
      <c r="E4" s="12" t="s">
        <v>18</v>
      </c>
    </row>
    <row r="5" spans="2:5" x14ac:dyDescent="0.45">
      <c r="B5" s="10"/>
      <c r="C5" s="10"/>
      <c r="D5" s="10"/>
      <c r="E5" s="10"/>
    </row>
    <row r="6" spans="2:5" x14ac:dyDescent="0.45">
      <c r="B6" s="11" t="s">
        <v>10</v>
      </c>
      <c r="C6" s="12" t="s">
        <v>636</v>
      </c>
      <c r="D6" s="11" t="s">
        <v>17</v>
      </c>
      <c r="E6" s="12" t="s">
        <v>19</v>
      </c>
    </row>
    <row r="7" spans="2:5" x14ac:dyDescent="0.45">
      <c r="B7" s="10"/>
      <c r="C7" s="10"/>
      <c r="D7" s="10"/>
      <c r="E7" s="10"/>
    </row>
    <row r="8" spans="2:5" x14ac:dyDescent="0.45">
      <c r="B8" s="11" t="s">
        <v>20</v>
      </c>
      <c r="C8" s="12" t="s">
        <v>635</v>
      </c>
      <c r="D8" s="11" t="s">
        <v>22</v>
      </c>
      <c r="E8" s="12" t="s">
        <v>23</v>
      </c>
    </row>
    <row r="9" spans="2:5" x14ac:dyDescent="0.45">
      <c r="B9" s="10"/>
      <c r="C9" s="10"/>
      <c r="D9" s="10"/>
      <c r="E9" s="10"/>
    </row>
    <row r="10" spans="2:5" x14ac:dyDescent="0.45">
      <c r="B10" s="11" t="s">
        <v>29</v>
      </c>
      <c r="C10" s="12"/>
      <c r="D10" s="11" t="s">
        <v>24</v>
      </c>
      <c r="E10" s="12" t="s">
        <v>25</v>
      </c>
    </row>
    <row r="11" spans="2:5" x14ac:dyDescent="0.45">
      <c r="B11" s="10"/>
      <c r="C11" s="10"/>
      <c r="D11" s="10"/>
      <c r="E11" s="10"/>
    </row>
    <row r="12" spans="2:5" x14ac:dyDescent="0.45">
      <c r="B12" s="11" t="s">
        <v>30</v>
      </c>
      <c r="C12" s="12"/>
      <c r="D12" s="11" t="s">
        <v>26</v>
      </c>
      <c r="E12" s="12"/>
    </row>
    <row r="13" spans="2:5" x14ac:dyDescent="0.45">
      <c r="B13" s="10"/>
      <c r="C13" s="10"/>
      <c r="D13" s="10"/>
      <c r="E13" s="10"/>
    </row>
    <row r="14" spans="2:5" x14ac:dyDescent="0.45">
      <c r="B14" s="11" t="s">
        <v>21</v>
      </c>
      <c r="C14" s="12"/>
      <c r="D14" s="11" t="s">
        <v>28</v>
      </c>
      <c r="E14" s="12"/>
    </row>
    <row r="15" spans="2:5" x14ac:dyDescent="0.45">
      <c r="B15" s="10"/>
      <c r="C15" s="10"/>
      <c r="D15" s="10"/>
      <c r="E15" s="10"/>
    </row>
    <row r="16" spans="2:5" x14ac:dyDescent="0.45">
      <c r="B16" s="11"/>
      <c r="C16" s="12"/>
      <c r="D16" s="11" t="s">
        <v>27</v>
      </c>
      <c r="E16" s="1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651"/>
  <sheetViews>
    <sheetView topLeftCell="D1" zoomScale="67" zoomScaleNormal="70" workbookViewId="0">
      <pane ySplit="1" topLeftCell="A2" activePane="bottomLeft" state="frozen"/>
      <selection pane="bottomLeft" activeCell="E38" sqref="D37:E38"/>
    </sheetView>
  </sheetViews>
  <sheetFormatPr defaultRowHeight="14.25" x14ac:dyDescent="0.45"/>
  <cols>
    <col min="1" max="1" width="8.73046875" customWidth="1"/>
    <col min="2" max="2" width="16.3984375" style="29" customWidth="1"/>
    <col min="3" max="3" width="27" style="2" customWidth="1"/>
    <col min="4" max="4" width="40.86328125" style="3" customWidth="1"/>
    <col min="5" max="6" width="28" style="3" customWidth="1"/>
    <col min="7" max="7" width="27.6640625" style="3" customWidth="1"/>
    <col min="8" max="8" width="36.1328125" style="3" customWidth="1"/>
    <col min="9" max="9" width="19.59765625" style="3" customWidth="1"/>
    <col min="10" max="12" width="23.1328125" style="3" customWidth="1"/>
    <col min="13" max="13" width="23.59765625" customWidth="1"/>
    <col min="14" max="14" width="18.73046875" customWidth="1"/>
    <col min="15" max="25" width="0" hidden="1" customWidth="1"/>
  </cols>
  <sheetData>
    <row r="1" spans="1:25" s="2" customFormat="1" ht="24.75" x14ac:dyDescent="0.45">
      <c r="A1" s="15" t="s">
        <v>3</v>
      </c>
      <c r="B1" s="15" t="s">
        <v>6</v>
      </c>
      <c r="C1" s="15" t="s">
        <v>36</v>
      </c>
      <c r="D1" s="15" t="s">
        <v>0</v>
      </c>
      <c r="E1" s="26" t="s">
        <v>46</v>
      </c>
      <c r="F1" s="15" t="s">
        <v>1</v>
      </c>
      <c r="G1" s="15" t="s">
        <v>2</v>
      </c>
      <c r="H1" s="15" t="s">
        <v>7</v>
      </c>
      <c r="I1" s="16" t="s">
        <v>5</v>
      </c>
      <c r="J1" s="27" t="s">
        <v>33</v>
      </c>
      <c r="K1" s="14" t="s">
        <v>32</v>
      </c>
      <c r="L1" s="17" t="s">
        <v>5</v>
      </c>
      <c r="M1" s="13" t="s">
        <v>33</v>
      </c>
      <c r="N1" s="17" t="s">
        <v>32</v>
      </c>
      <c r="O1" s="1"/>
      <c r="P1" s="1"/>
      <c r="Q1" s="1"/>
      <c r="R1" s="1"/>
      <c r="S1" s="1"/>
      <c r="T1" s="1"/>
      <c r="U1" s="1"/>
      <c r="V1" s="1"/>
      <c r="W1" s="1"/>
      <c r="X1" s="1"/>
      <c r="Y1" s="1"/>
    </row>
    <row r="2" spans="1:25" x14ac:dyDescent="0.45">
      <c r="A2" s="19"/>
      <c r="B2" s="28" t="s">
        <v>34</v>
      </c>
      <c r="C2" s="22"/>
      <c r="D2" s="18" t="s">
        <v>35</v>
      </c>
      <c r="M2" s="3"/>
    </row>
    <row r="3" spans="1:25" ht="242.25" x14ac:dyDescent="0.45">
      <c r="A3" s="20" t="str">
        <f>"TC"&amp;TEXT(ROW(A1),"00")</f>
        <v>TC01</v>
      </c>
      <c r="B3" s="28" t="s">
        <v>31</v>
      </c>
      <c r="C3" s="24" t="s">
        <v>212</v>
      </c>
      <c r="D3" s="3" t="s">
        <v>39</v>
      </c>
      <c r="E3" s="3" t="s">
        <v>47</v>
      </c>
      <c r="F3" s="3" t="s">
        <v>40</v>
      </c>
      <c r="G3" s="3" t="s">
        <v>73</v>
      </c>
      <c r="H3" s="3" t="s">
        <v>45</v>
      </c>
      <c r="I3" s="3" t="s">
        <v>642</v>
      </c>
      <c r="J3" s="3" t="s">
        <v>41</v>
      </c>
      <c r="K3" s="23" t="s">
        <v>42</v>
      </c>
    </row>
    <row r="4" spans="1:25" ht="242.25" x14ac:dyDescent="0.45">
      <c r="A4" s="20" t="str">
        <f>"TC"&amp;TEXT(ROW(A2),"00")</f>
        <v>TC02</v>
      </c>
      <c r="B4" s="28" t="s">
        <v>31</v>
      </c>
      <c r="C4" s="24" t="s">
        <v>212</v>
      </c>
      <c r="D4" s="3" t="s">
        <v>43</v>
      </c>
      <c r="E4" s="3" t="s">
        <v>47</v>
      </c>
      <c r="F4" s="3" t="s">
        <v>44</v>
      </c>
      <c r="G4" s="3" t="s">
        <v>74</v>
      </c>
      <c r="H4" s="3" t="s">
        <v>48</v>
      </c>
      <c r="I4" s="3" t="s">
        <v>643</v>
      </c>
      <c r="J4" s="3" t="s">
        <v>49</v>
      </c>
      <c r="K4" s="3" t="s">
        <v>63</v>
      </c>
    </row>
    <row r="5" spans="1:25" ht="228" x14ac:dyDescent="0.45">
      <c r="A5" s="20" t="str">
        <f t="shared" ref="A5:A34" si="0">"TC"&amp;TEXT(ROW(A3),"00")</f>
        <v>TC03</v>
      </c>
      <c r="B5" s="28" t="s">
        <v>31</v>
      </c>
      <c r="C5" s="24" t="s">
        <v>212</v>
      </c>
      <c r="D5" s="3" t="s">
        <v>50</v>
      </c>
      <c r="E5" s="3" t="s">
        <v>47</v>
      </c>
      <c r="F5" s="3" t="s">
        <v>51</v>
      </c>
      <c r="G5" s="3" t="s">
        <v>75</v>
      </c>
      <c r="H5" s="3" t="s">
        <v>52</v>
      </c>
      <c r="I5" s="3" t="s">
        <v>642</v>
      </c>
      <c r="J5" s="3" t="s">
        <v>53</v>
      </c>
      <c r="K5" s="23" t="s">
        <v>54</v>
      </c>
    </row>
    <row r="6" spans="1:25" ht="242.25" x14ac:dyDescent="0.45">
      <c r="A6" s="20" t="str">
        <f t="shared" si="0"/>
        <v>TC04</v>
      </c>
      <c r="B6" s="28" t="s">
        <v>31</v>
      </c>
      <c r="C6" s="24" t="s">
        <v>212</v>
      </c>
      <c r="D6" s="3" t="s">
        <v>55</v>
      </c>
      <c r="E6" s="3" t="s">
        <v>47</v>
      </c>
      <c r="F6" s="3" t="s">
        <v>56</v>
      </c>
      <c r="G6" s="3" t="s">
        <v>76</v>
      </c>
      <c r="H6" s="3" t="s">
        <v>57</v>
      </c>
      <c r="I6" s="3" t="s">
        <v>643</v>
      </c>
      <c r="J6" s="3" t="s">
        <v>58</v>
      </c>
      <c r="K6" s="3" t="s">
        <v>63</v>
      </c>
    </row>
    <row r="7" spans="1:25" ht="228" x14ac:dyDescent="0.45">
      <c r="A7" s="20" t="str">
        <f t="shared" si="0"/>
        <v>TC05</v>
      </c>
      <c r="B7" s="28" t="s">
        <v>31</v>
      </c>
      <c r="C7" s="24" t="s">
        <v>212</v>
      </c>
      <c r="D7" s="3" t="s">
        <v>59</v>
      </c>
      <c r="E7" s="3" t="s">
        <v>47</v>
      </c>
      <c r="F7" s="3" t="s">
        <v>60</v>
      </c>
      <c r="G7" s="3" t="s">
        <v>77</v>
      </c>
      <c r="H7" s="3" t="s">
        <v>61</v>
      </c>
      <c r="I7" s="3" t="s">
        <v>643</v>
      </c>
      <c r="J7" s="3" t="s">
        <v>62</v>
      </c>
      <c r="K7" s="3" t="s">
        <v>63</v>
      </c>
    </row>
    <row r="8" spans="1:25" ht="228" x14ac:dyDescent="0.45">
      <c r="A8" s="20" t="str">
        <f t="shared" si="0"/>
        <v>TC06</v>
      </c>
      <c r="B8" s="28" t="s">
        <v>31</v>
      </c>
      <c r="C8" s="24" t="s">
        <v>212</v>
      </c>
      <c r="D8" s="3" t="s">
        <v>64</v>
      </c>
      <c r="E8" s="3" t="s">
        <v>47</v>
      </c>
      <c r="F8" s="3" t="s">
        <v>65</v>
      </c>
      <c r="G8" s="3" t="s">
        <v>78</v>
      </c>
      <c r="H8" s="3" t="s">
        <v>61</v>
      </c>
      <c r="I8" s="3" t="s">
        <v>643</v>
      </c>
      <c r="J8" s="3" t="s">
        <v>62</v>
      </c>
      <c r="K8" s="3" t="s">
        <v>63</v>
      </c>
    </row>
    <row r="9" spans="1:25" ht="228" x14ac:dyDescent="0.45">
      <c r="A9" s="20" t="str">
        <f t="shared" si="0"/>
        <v>TC07</v>
      </c>
      <c r="B9" s="28" t="s">
        <v>31</v>
      </c>
      <c r="C9" s="24" t="s">
        <v>212</v>
      </c>
      <c r="D9" s="3" t="s">
        <v>66</v>
      </c>
      <c r="E9" s="3" t="s">
        <v>47</v>
      </c>
      <c r="F9" s="3" t="s">
        <v>67</v>
      </c>
      <c r="G9" s="3" t="s">
        <v>79</v>
      </c>
      <c r="H9" s="3" t="s">
        <v>68</v>
      </c>
      <c r="I9" s="3" t="s">
        <v>642</v>
      </c>
      <c r="J9" s="3" t="s">
        <v>69</v>
      </c>
      <c r="K9" s="3" t="s">
        <v>70</v>
      </c>
    </row>
    <row r="10" spans="1:25" ht="228" x14ac:dyDescent="0.45">
      <c r="A10" s="20" t="str">
        <f t="shared" si="0"/>
        <v>TC08</v>
      </c>
      <c r="B10" s="28" t="s">
        <v>31</v>
      </c>
      <c r="C10" s="24" t="s">
        <v>212</v>
      </c>
      <c r="D10" s="3" t="s">
        <v>71</v>
      </c>
      <c r="E10" s="3" t="s">
        <v>47</v>
      </c>
      <c r="F10" s="3" t="s">
        <v>72</v>
      </c>
      <c r="G10" s="3" t="s">
        <v>80</v>
      </c>
      <c r="H10" s="3" t="s">
        <v>81</v>
      </c>
      <c r="I10" s="3" t="s">
        <v>642</v>
      </c>
      <c r="J10" s="3" t="s">
        <v>82</v>
      </c>
      <c r="K10" s="3" t="s">
        <v>83</v>
      </c>
    </row>
    <row r="11" spans="1:25" ht="228" x14ac:dyDescent="0.45">
      <c r="A11" s="20" t="str">
        <f t="shared" si="0"/>
        <v>TC09</v>
      </c>
      <c r="B11" s="28" t="s">
        <v>31</v>
      </c>
      <c r="C11" s="24" t="s">
        <v>212</v>
      </c>
      <c r="D11" s="3" t="s">
        <v>84</v>
      </c>
      <c r="E11" s="3" t="s">
        <v>47</v>
      </c>
      <c r="F11" s="3" t="s">
        <v>85</v>
      </c>
      <c r="G11" s="3" t="s">
        <v>86</v>
      </c>
      <c r="H11" s="3" t="s">
        <v>87</v>
      </c>
      <c r="I11" s="3" t="s">
        <v>642</v>
      </c>
      <c r="J11" s="3" t="s">
        <v>88</v>
      </c>
      <c r="K11" s="3" t="s">
        <v>89</v>
      </c>
    </row>
    <row r="12" spans="1:25" ht="228" x14ac:dyDescent="0.45">
      <c r="A12" s="20" t="str">
        <f t="shared" si="0"/>
        <v>TC10</v>
      </c>
      <c r="B12" s="28" t="s">
        <v>31</v>
      </c>
      <c r="C12" s="24" t="s">
        <v>212</v>
      </c>
      <c r="D12" s="3" t="s">
        <v>90</v>
      </c>
      <c r="E12" s="3" t="s">
        <v>47</v>
      </c>
      <c r="F12" s="3" t="s">
        <v>91</v>
      </c>
      <c r="G12" s="3" t="s">
        <v>92</v>
      </c>
      <c r="H12" s="3" t="s">
        <v>61</v>
      </c>
      <c r="I12" s="3" t="s">
        <v>642</v>
      </c>
      <c r="J12" s="3" t="s">
        <v>93</v>
      </c>
      <c r="K12" s="3" t="s">
        <v>159</v>
      </c>
    </row>
    <row r="13" spans="1:25" ht="228" x14ac:dyDescent="0.45">
      <c r="A13" s="20" t="str">
        <f t="shared" si="0"/>
        <v>TC11</v>
      </c>
      <c r="B13" s="28" t="s">
        <v>31</v>
      </c>
      <c r="C13" s="24" t="s">
        <v>212</v>
      </c>
      <c r="D13" s="3" t="s">
        <v>94</v>
      </c>
      <c r="E13" s="3" t="s">
        <v>47</v>
      </c>
      <c r="F13" s="3" t="s">
        <v>95</v>
      </c>
      <c r="G13" s="3" t="s">
        <v>96</v>
      </c>
      <c r="H13" s="3" t="s">
        <v>97</v>
      </c>
      <c r="I13" s="3" t="s">
        <v>643</v>
      </c>
      <c r="J13" s="3" t="s">
        <v>98</v>
      </c>
      <c r="K13" s="3" t="s">
        <v>63</v>
      </c>
    </row>
    <row r="14" spans="1:25" ht="228" x14ac:dyDescent="0.45">
      <c r="A14" s="20" t="str">
        <f t="shared" si="0"/>
        <v>TC12</v>
      </c>
      <c r="B14" s="28" t="s">
        <v>31</v>
      </c>
      <c r="C14" s="24" t="s">
        <v>212</v>
      </c>
      <c r="D14" s="3" t="s">
        <v>99</v>
      </c>
      <c r="E14" s="3" t="s">
        <v>47</v>
      </c>
      <c r="F14" s="3" t="s">
        <v>100</v>
      </c>
      <c r="G14" s="3" t="s">
        <v>101</v>
      </c>
      <c r="H14" s="3" t="s">
        <v>102</v>
      </c>
      <c r="I14" s="3" t="s">
        <v>642</v>
      </c>
      <c r="J14" s="3" t="s">
        <v>103</v>
      </c>
      <c r="K14" s="3" t="s">
        <v>160</v>
      </c>
    </row>
    <row r="15" spans="1:25" ht="213.75" x14ac:dyDescent="0.45">
      <c r="A15" s="20" t="str">
        <f t="shared" si="0"/>
        <v>TC13</v>
      </c>
      <c r="B15" s="28" t="s">
        <v>31</v>
      </c>
      <c r="C15" s="24" t="s">
        <v>212</v>
      </c>
      <c r="D15" s="3" t="s">
        <v>104</v>
      </c>
      <c r="E15" s="3" t="s">
        <v>47</v>
      </c>
      <c r="F15" s="3" t="s">
        <v>105</v>
      </c>
      <c r="G15" s="3" t="s">
        <v>106</v>
      </c>
      <c r="H15" s="3" t="s">
        <v>107</v>
      </c>
      <c r="I15" s="3" t="s">
        <v>642</v>
      </c>
      <c r="J15" s="3" t="s">
        <v>108</v>
      </c>
      <c r="K15" s="3" t="s">
        <v>161</v>
      </c>
    </row>
    <row r="16" spans="1:25" ht="213.75" x14ac:dyDescent="0.45">
      <c r="A16" s="20" t="str">
        <f t="shared" si="0"/>
        <v>TC14</v>
      </c>
      <c r="B16" s="28" t="s">
        <v>31</v>
      </c>
      <c r="C16" s="24" t="s">
        <v>212</v>
      </c>
      <c r="D16" s="3" t="s">
        <v>109</v>
      </c>
      <c r="E16" s="3" t="s">
        <v>47</v>
      </c>
      <c r="F16" s="3" t="s">
        <v>110</v>
      </c>
      <c r="G16" s="3" t="s">
        <v>111</v>
      </c>
      <c r="H16" s="3" t="s">
        <v>112</v>
      </c>
      <c r="I16" s="3" t="s">
        <v>642</v>
      </c>
      <c r="J16" s="3" t="s">
        <v>113</v>
      </c>
      <c r="K16" s="3" t="s">
        <v>162</v>
      </c>
    </row>
    <row r="17" spans="1:11" ht="213.75" x14ac:dyDescent="0.45">
      <c r="A17" s="20" t="str">
        <f t="shared" si="0"/>
        <v>TC15</v>
      </c>
      <c r="B17" s="28" t="s">
        <v>31</v>
      </c>
      <c r="C17" s="24" t="s">
        <v>212</v>
      </c>
      <c r="D17" s="3" t="s">
        <v>114</v>
      </c>
      <c r="E17" s="3" t="s">
        <v>47</v>
      </c>
      <c r="F17" s="3" t="s">
        <v>115</v>
      </c>
      <c r="G17" s="3" t="s">
        <v>116</v>
      </c>
      <c r="H17" s="3" t="s">
        <v>117</v>
      </c>
      <c r="I17" s="3" t="s">
        <v>642</v>
      </c>
      <c r="J17" s="3" t="s">
        <v>118</v>
      </c>
      <c r="K17" s="3" t="s">
        <v>163</v>
      </c>
    </row>
    <row r="18" spans="1:11" ht="299.25" x14ac:dyDescent="0.45">
      <c r="A18" s="20" t="str">
        <f t="shared" si="0"/>
        <v>TC16</v>
      </c>
      <c r="B18" s="28" t="s">
        <v>31</v>
      </c>
      <c r="C18" s="24" t="s">
        <v>212</v>
      </c>
      <c r="D18" s="3" t="s">
        <v>119</v>
      </c>
      <c r="E18" s="3" t="s">
        <v>47</v>
      </c>
      <c r="F18" s="3" t="s">
        <v>120</v>
      </c>
      <c r="G18" s="3" t="s">
        <v>121</v>
      </c>
      <c r="H18" s="3" t="s">
        <v>122</v>
      </c>
      <c r="I18" s="3" t="s">
        <v>643</v>
      </c>
      <c r="J18" s="3" t="s">
        <v>123</v>
      </c>
      <c r="K18" s="3" t="s">
        <v>63</v>
      </c>
    </row>
    <row r="19" spans="1:11" ht="228" x14ac:dyDescent="0.45">
      <c r="A19" s="20" t="str">
        <f t="shared" si="0"/>
        <v>TC17</v>
      </c>
      <c r="B19" s="28" t="s">
        <v>31</v>
      </c>
      <c r="C19" s="24" t="s">
        <v>212</v>
      </c>
      <c r="D19" s="3" t="s">
        <v>124</v>
      </c>
      <c r="E19" s="3" t="s">
        <v>47</v>
      </c>
      <c r="F19" s="3" t="s">
        <v>125</v>
      </c>
      <c r="G19" s="3" t="s">
        <v>126</v>
      </c>
      <c r="H19" s="3" t="s">
        <v>127</v>
      </c>
      <c r="I19" s="3" t="s">
        <v>642</v>
      </c>
      <c r="J19" s="3" t="s">
        <v>128</v>
      </c>
      <c r="K19" s="3" t="s">
        <v>164</v>
      </c>
    </row>
    <row r="20" spans="1:11" ht="228" x14ac:dyDescent="0.45">
      <c r="A20" s="20" t="str">
        <f t="shared" si="0"/>
        <v>TC18</v>
      </c>
      <c r="B20" s="28" t="s">
        <v>31</v>
      </c>
      <c r="C20" s="24" t="s">
        <v>212</v>
      </c>
      <c r="D20" s="3" t="s">
        <v>129</v>
      </c>
      <c r="E20" s="3" t="s">
        <v>47</v>
      </c>
      <c r="F20" s="3" t="s">
        <v>130</v>
      </c>
      <c r="G20" s="3" t="s">
        <v>131</v>
      </c>
      <c r="H20" s="3" t="s">
        <v>132</v>
      </c>
      <c r="I20" s="3" t="s">
        <v>643</v>
      </c>
      <c r="J20" s="3" t="s">
        <v>133</v>
      </c>
      <c r="K20" s="3" t="s">
        <v>63</v>
      </c>
    </row>
    <row r="21" spans="1:11" ht="228" x14ac:dyDescent="0.45">
      <c r="A21" s="20" t="str">
        <f t="shared" si="0"/>
        <v>TC19</v>
      </c>
      <c r="B21" s="28" t="s">
        <v>31</v>
      </c>
      <c r="C21" s="24" t="s">
        <v>212</v>
      </c>
      <c r="D21" s="3" t="s">
        <v>134</v>
      </c>
      <c r="E21" s="3" t="s">
        <v>47</v>
      </c>
      <c r="F21" s="3" t="s">
        <v>135</v>
      </c>
      <c r="G21" s="3" t="s">
        <v>136</v>
      </c>
      <c r="H21" s="3" t="s">
        <v>137</v>
      </c>
      <c r="I21" s="3" t="s">
        <v>643</v>
      </c>
      <c r="J21" s="3" t="s">
        <v>138</v>
      </c>
      <c r="K21" s="3" t="s">
        <v>63</v>
      </c>
    </row>
    <row r="22" spans="1:11" ht="228" x14ac:dyDescent="0.45">
      <c r="A22" s="20" t="str">
        <f t="shared" si="0"/>
        <v>TC20</v>
      </c>
      <c r="B22" s="28" t="s">
        <v>31</v>
      </c>
      <c r="C22" s="24" t="s">
        <v>212</v>
      </c>
      <c r="D22" s="3" t="s">
        <v>139</v>
      </c>
      <c r="E22" s="3" t="s">
        <v>47</v>
      </c>
      <c r="F22" s="3" t="s">
        <v>140</v>
      </c>
      <c r="G22" s="3" t="s">
        <v>141</v>
      </c>
      <c r="H22" s="3" t="s">
        <v>142</v>
      </c>
      <c r="I22" s="3" t="s">
        <v>642</v>
      </c>
      <c r="J22" s="3" t="s">
        <v>143</v>
      </c>
      <c r="K22" s="3" t="s">
        <v>165</v>
      </c>
    </row>
    <row r="23" spans="1:11" ht="242.25" x14ac:dyDescent="0.45">
      <c r="A23" s="20" t="str">
        <f t="shared" si="0"/>
        <v>TC21</v>
      </c>
      <c r="B23" s="28" t="s">
        <v>31</v>
      </c>
      <c r="C23" s="24" t="s">
        <v>212</v>
      </c>
      <c r="D23" s="3" t="s">
        <v>144</v>
      </c>
      <c r="E23" s="3" t="s">
        <v>47</v>
      </c>
      <c r="F23" s="3" t="s">
        <v>145</v>
      </c>
      <c r="G23" s="3" t="s">
        <v>146</v>
      </c>
      <c r="H23" s="3" t="s">
        <v>147</v>
      </c>
      <c r="I23" s="3" t="s">
        <v>642</v>
      </c>
      <c r="J23" s="3" t="s">
        <v>148</v>
      </c>
      <c r="K23" s="3" t="s">
        <v>166</v>
      </c>
    </row>
    <row r="24" spans="1:11" ht="228" x14ac:dyDescent="0.45">
      <c r="A24" s="20" t="str">
        <f t="shared" si="0"/>
        <v>TC22</v>
      </c>
      <c r="B24" s="28" t="s">
        <v>31</v>
      </c>
      <c r="C24" s="24" t="s">
        <v>212</v>
      </c>
      <c r="D24" s="3" t="s">
        <v>149</v>
      </c>
      <c r="E24" s="3" t="s">
        <v>47</v>
      </c>
      <c r="F24" s="3" t="s">
        <v>150</v>
      </c>
      <c r="G24" s="3" t="s">
        <v>151</v>
      </c>
      <c r="H24" s="3" t="s">
        <v>152</v>
      </c>
      <c r="I24" s="3" t="s">
        <v>643</v>
      </c>
      <c r="J24" s="3" t="s">
        <v>153</v>
      </c>
      <c r="K24" s="3" t="s">
        <v>63</v>
      </c>
    </row>
    <row r="25" spans="1:11" ht="228" x14ac:dyDescent="0.45">
      <c r="A25" s="20" t="str">
        <f t="shared" si="0"/>
        <v>TC23</v>
      </c>
      <c r="B25" s="28" t="s">
        <v>31</v>
      </c>
      <c r="C25" s="24" t="s">
        <v>212</v>
      </c>
      <c r="D25" s="3" t="s">
        <v>154</v>
      </c>
      <c r="E25" s="3" t="s">
        <v>47</v>
      </c>
      <c r="F25" s="3" t="s">
        <v>155</v>
      </c>
      <c r="G25" s="3" t="s">
        <v>156</v>
      </c>
      <c r="H25" s="3" t="s">
        <v>157</v>
      </c>
      <c r="I25" s="3" t="s">
        <v>643</v>
      </c>
      <c r="J25" s="3" t="s">
        <v>158</v>
      </c>
      <c r="K25" s="3" t="s">
        <v>63</v>
      </c>
    </row>
    <row r="26" spans="1:11" ht="285" x14ac:dyDescent="0.45">
      <c r="A26" s="20" t="str">
        <f t="shared" si="0"/>
        <v>TC24</v>
      </c>
      <c r="B26" s="28" t="s">
        <v>31</v>
      </c>
      <c r="C26" s="24" t="s">
        <v>212</v>
      </c>
      <c r="D26" s="3" t="s">
        <v>167</v>
      </c>
      <c r="E26" s="3" t="s">
        <v>47</v>
      </c>
      <c r="F26" s="3" t="s">
        <v>168</v>
      </c>
      <c r="G26" s="3" t="s">
        <v>169</v>
      </c>
      <c r="H26" s="3" t="s">
        <v>170</v>
      </c>
      <c r="I26" s="3" t="s">
        <v>643</v>
      </c>
      <c r="J26" s="3" t="s">
        <v>158</v>
      </c>
      <c r="K26" s="3" t="s">
        <v>63</v>
      </c>
    </row>
    <row r="27" spans="1:11" ht="228" x14ac:dyDescent="0.45">
      <c r="A27" s="20" t="str">
        <f t="shared" si="0"/>
        <v>TC25</v>
      </c>
      <c r="B27" s="28" t="s">
        <v>31</v>
      </c>
      <c r="C27" s="24" t="s">
        <v>212</v>
      </c>
      <c r="D27" s="3" t="s">
        <v>171</v>
      </c>
      <c r="E27" s="3" t="s">
        <v>47</v>
      </c>
      <c r="F27" s="3" t="s">
        <v>172</v>
      </c>
      <c r="G27" s="3" t="s">
        <v>173</v>
      </c>
      <c r="H27" s="3" t="s">
        <v>174</v>
      </c>
      <c r="I27" s="3" t="s">
        <v>643</v>
      </c>
      <c r="J27" s="3" t="s">
        <v>175</v>
      </c>
      <c r="K27" s="3" t="s">
        <v>63</v>
      </c>
    </row>
    <row r="28" spans="1:11" ht="228" x14ac:dyDescent="0.45">
      <c r="A28" s="20" t="str">
        <f t="shared" si="0"/>
        <v>TC26</v>
      </c>
      <c r="B28" s="28" t="s">
        <v>31</v>
      </c>
      <c r="C28" s="24" t="s">
        <v>212</v>
      </c>
      <c r="D28" s="3" t="s">
        <v>171</v>
      </c>
      <c r="E28" s="3" t="s">
        <v>47</v>
      </c>
      <c r="F28" s="3" t="s">
        <v>172</v>
      </c>
      <c r="G28" s="3" t="s">
        <v>173</v>
      </c>
      <c r="H28" s="3" t="s">
        <v>174</v>
      </c>
      <c r="I28" s="3" t="s">
        <v>643</v>
      </c>
      <c r="J28" s="3" t="s">
        <v>175</v>
      </c>
      <c r="K28" s="3" t="s">
        <v>63</v>
      </c>
    </row>
    <row r="29" spans="1:11" ht="228" x14ac:dyDescent="0.45">
      <c r="A29" s="20" t="str">
        <f t="shared" si="0"/>
        <v>TC27</v>
      </c>
      <c r="B29" s="28" t="s">
        <v>31</v>
      </c>
      <c r="C29" s="24" t="s">
        <v>212</v>
      </c>
      <c r="D29" s="3" t="s">
        <v>176</v>
      </c>
      <c r="E29" s="3" t="s">
        <v>47</v>
      </c>
      <c r="F29" s="3" t="s">
        <v>177</v>
      </c>
      <c r="G29" s="3" t="s">
        <v>178</v>
      </c>
      <c r="H29" s="3" t="s">
        <v>179</v>
      </c>
      <c r="I29" s="3" t="s">
        <v>643</v>
      </c>
      <c r="J29" s="3" t="s">
        <v>180</v>
      </c>
      <c r="K29" s="3" t="s">
        <v>63</v>
      </c>
    </row>
    <row r="30" spans="1:11" ht="256.5" x14ac:dyDescent="0.45">
      <c r="A30" s="20" t="str">
        <f t="shared" si="0"/>
        <v>TC28</v>
      </c>
      <c r="B30" s="28" t="s">
        <v>31</v>
      </c>
      <c r="C30" s="24" t="s">
        <v>212</v>
      </c>
      <c r="D30" s="3" t="s">
        <v>181</v>
      </c>
      <c r="E30" s="3" t="s">
        <v>47</v>
      </c>
      <c r="F30" s="3" t="s">
        <v>182</v>
      </c>
      <c r="G30" s="3" t="s">
        <v>183</v>
      </c>
      <c r="H30" s="3" t="s">
        <v>184</v>
      </c>
      <c r="I30" s="3" t="s">
        <v>643</v>
      </c>
      <c r="J30" s="3" t="s">
        <v>185</v>
      </c>
      <c r="K30" s="3" t="s">
        <v>63</v>
      </c>
    </row>
    <row r="31" spans="1:11" ht="228" x14ac:dyDescent="0.45">
      <c r="A31" s="20" t="str">
        <f t="shared" si="0"/>
        <v>TC29</v>
      </c>
      <c r="B31" s="28" t="s">
        <v>31</v>
      </c>
      <c r="C31" s="24" t="s">
        <v>212</v>
      </c>
      <c r="D31" s="3" t="s">
        <v>186</v>
      </c>
      <c r="E31" s="3" t="s">
        <v>47</v>
      </c>
      <c r="F31" s="3" t="s">
        <v>187</v>
      </c>
      <c r="G31" s="3" t="s">
        <v>188</v>
      </c>
      <c r="H31" s="3" t="s">
        <v>189</v>
      </c>
      <c r="I31" s="3" t="s">
        <v>643</v>
      </c>
      <c r="J31" s="3" t="s">
        <v>190</v>
      </c>
      <c r="K31" s="3" t="s">
        <v>63</v>
      </c>
    </row>
    <row r="32" spans="1:11" ht="228" x14ac:dyDescent="0.45">
      <c r="A32" s="20" t="str">
        <f t="shared" si="0"/>
        <v>TC30</v>
      </c>
      <c r="B32" s="28" t="s">
        <v>31</v>
      </c>
      <c r="C32" s="24" t="s">
        <v>212</v>
      </c>
      <c r="D32" s="3" t="s">
        <v>191</v>
      </c>
      <c r="E32" s="3" t="s">
        <v>47</v>
      </c>
      <c r="F32" s="3" t="s">
        <v>192</v>
      </c>
      <c r="G32" s="3" t="s">
        <v>193</v>
      </c>
      <c r="H32" s="3" t="s">
        <v>194</v>
      </c>
      <c r="I32" s="3" t="s">
        <v>643</v>
      </c>
      <c r="J32" s="3" t="s">
        <v>195</v>
      </c>
      <c r="K32" s="3" t="s">
        <v>63</v>
      </c>
    </row>
    <row r="33" spans="1:12" ht="213.75" x14ac:dyDescent="0.45">
      <c r="A33" s="20" t="str">
        <f t="shared" si="0"/>
        <v>TC31</v>
      </c>
      <c r="B33" s="28" t="s">
        <v>31</v>
      </c>
      <c r="C33" s="24" t="s">
        <v>212</v>
      </c>
      <c r="D33" s="3" t="s">
        <v>196</v>
      </c>
      <c r="E33" s="3" t="s">
        <v>47</v>
      </c>
      <c r="F33" s="3" t="s">
        <v>197</v>
      </c>
      <c r="G33" s="3" t="s">
        <v>198</v>
      </c>
      <c r="H33" s="3" t="s">
        <v>199</v>
      </c>
      <c r="I33" s="3" t="s">
        <v>643</v>
      </c>
      <c r="J33" s="3" t="s">
        <v>200</v>
      </c>
      <c r="K33" s="3" t="s">
        <v>63</v>
      </c>
    </row>
    <row r="34" spans="1:12" ht="228" x14ac:dyDescent="0.45">
      <c r="A34" s="20" t="str">
        <f t="shared" si="0"/>
        <v>TC32</v>
      </c>
      <c r="B34" s="28" t="s">
        <v>31</v>
      </c>
      <c r="C34" s="24" t="s">
        <v>212</v>
      </c>
      <c r="D34" s="3" t="s">
        <v>223</v>
      </c>
      <c r="E34" s="3" t="s">
        <v>47</v>
      </c>
      <c r="F34" s="3" t="s">
        <v>224</v>
      </c>
      <c r="G34" s="3" t="s">
        <v>173</v>
      </c>
      <c r="H34" s="3" t="s">
        <v>225</v>
      </c>
      <c r="I34" s="3" t="s">
        <v>643</v>
      </c>
      <c r="J34" s="3" t="s">
        <v>226</v>
      </c>
      <c r="K34" s="3" t="s">
        <v>63</v>
      </c>
    </row>
    <row r="35" spans="1:12" x14ac:dyDescent="0.45">
      <c r="A35" s="3"/>
      <c r="B35"/>
      <c r="C35"/>
      <c r="D35"/>
      <c r="E35"/>
      <c r="F35"/>
      <c r="G35"/>
      <c r="H35"/>
      <c r="J35"/>
      <c r="K35"/>
      <c r="L35"/>
    </row>
    <row r="36" spans="1:12" x14ac:dyDescent="0.45">
      <c r="A36" s="3"/>
      <c r="B36"/>
      <c r="C36"/>
      <c r="D36"/>
      <c r="E36"/>
      <c r="F36"/>
      <c r="G36"/>
      <c r="H36"/>
      <c r="J36"/>
      <c r="K36"/>
      <c r="L36"/>
    </row>
    <row r="37" spans="1:12" x14ac:dyDescent="0.45">
      <c r="A37" s="3"/>
      <c r="B37"/>
      <c r="C37"/>
      <c r="D37">
        <f>COUNTIF(I:I,"Passed")</f>
        <v>19</v>
      </c>
      <c r="E37" s="3" t="s">
        <v>644</v>
      </c>
      <c r="F37"/>
      <c r="G37"/>
      <c r="H37"/>
      <c r="J37"/>
      <c r="K37"/>
      <c r="L37"/>
    </row>
    <row r="38" spans="1:12" x14ac:dyDescent="0.45">
      <c r="A38" s="3"/>
      <c r="B38"/>
      <c r="C38"/>
      <c r="D38">
        <f>COUNTIF(I:I,"Failed")</f>
        <v>13</v>
      </c>
      <c r="E38" s="3" t="s">
        <v>645</v>
      </c>
      <c r="F38"/>
      <c r="G38"/>
      <c r="H38"/>
      <c r="J38"/>
      <c r="K38"/>
      <c r="L38"/>
    </row>
    <row r="39" spans="1:12" x14ac:dyDescent="0.45">
      <c r="A39" s="3"/>
      <c r="B39"/>
      <c r="C39"/>
      <c r="D39"/>
      <c r="E39"/>
      <c r="F39"/>
      <c r="G39"/>
      <c r="H39"/>
      <c r="J39"/>
      <c r="K39"/>
      <c r="L39"/>
    </row>
    <row r="40" spans="1:12" x14ac:dyDescent="0.45">
      <c r="A40" s="3"/>
      <c r="B40"/>
      <c r="C40"/>
      <c r="D40"/>
      <c r="E40"/>
      <c r="F40"/>
      <c r="G40"/>
      <c r="H40"/>
      <c r="J40"/>
      <c r="K40"/>
      <c r="L40"/>
    </row>
    <row r="41" spans="1:12" x14ac:dyDescent="0.45">
      <c r="A41" s="3"/>
      <c r="B41"/>
      <c r="C41"/>
      <c r="D41"/>
      <c r="E41"/>
      <c r="F41"/>
      <c r="G41"/>
      <c r="H41"/>
      <c r="J41"/>
      <c r="K41"/>
      <c r="L41"/>
    </row>
    <row r="42" spans="1:12" x14ac:dyDescent="0.45">
      <c r="A42" s="3"/>
      <c r="B42"/>
      <c r="C42"/>
      <c r="D42"/>
      <c r="E42"/>
      <c r="F42"/>
      <c r="G42"/>
      <c r="H42"/>
      <c r="J42"/>
      <c r="K42"/>
      <c r="L42"/>
    </row>
    <row r="43" spans="1:12" x14ac:dyDescent="0.45">
      <c r="A43" s="3"/>
      <c r="B43"/>
      <c r="C43"/>
      <c r="D43"/>
      <c r="E43"/>
      <c r="F43"/>
      <c r="G43"/>
      <c r="H43"/>
      <c r="J43"/>
      <c r="K43"/>
      <c r="L43"/>
    </row>
    <row r="44" spans="1:12" x14ac:dyDescent="0.45">
      <c r="A44" s="3"/>
      <c r="B44"/>
      <c r="C44"/>
      <c r="D44"/>
      <c r="E44"/>
      <c r="F44"/>
      <c r="G44"/>
      <c r="H44"/>
      <c r="J44"/>
      <c r="K44"/>
      <c r="L44"/>
    </row>
    <row r="45" spans="1:12" x14ac:dyDescent="0.45">
      <c r="A45" s="3"/>
      <c r="B45"/>
      <c r="C45"/>
      <c r="D45"/>
      <c r="E45"/>
      <c r="F45"/>
      <c r="G45"/>
      <c r="H45"/>
      <c r="J45"/>
      <c r="K45"/>
      <c r="L45"/>
    </row>
    <row r="46" spans="1:12" x14ac:dyDescent="0.45">
      <c r="A46" s="3"/>
      <c r="B46"/>
      <c r="C46"/>
      <c r="D46"/>
      <c r="E46"/>
      <c r="F46"/>
      <c r="G46"/>
      <c r="H46"/>
      <c r="J46"/>
      <c r="K46"/>
      <c r="L46"/>
    </row>
    <row r="47" spans="1:12" x14ac:dyDescent="0.45">
      <c r="A47" s="3"/>
      <c r="B47"/>
      <c r="C47"/>
      <c r="D47"/>
      <c r="E47"/>
      <c r="F47"/>
      <c r="G47"/>
      <c r="H47"/>
      <c r="J47"/>
      <c r="K47"/>
      <c r="L47"/>
    </row>
    <row r="48" spans="1:12" x14ac:dyDescent="0.45">
      <c r="A48" s="3"/>
      <c r="B48"/>
      <c r="C48"/>
      <c r="D48"/>
      <c r="E48"/>
      <c r="F48"/>
      <c r="G48"/>
      <c r="H48"/>
      <c r="J48"/>
      <c r="K48"/>
      <c r="L48"/>
    </row>
    <row r="49" spans="1:12" x14ac:dyDescent="0.45">
      <c r="A49" s="3"/>
      <c r="B49"/>
      <c r="C49"/>
      <c r="D49"/>
      <c r="E49"/>
      <c r="F49"/>
      <c r="G49"/>
      <c r="H49"/>
      <c r="J49"/>
      <c r="K49"/>
      <c r="L49"/>
    </row>
    <row r="50" spans="1:12" x14ac:dyDescent="0.45">
      <c r="A50" s="3"/>
      <c r="B50"/>
      <c r="C50"/>
      <c r="D50"/>
      <c r="E50"/>
      <c r="F50"/>
      <c r="G50"/>
      <c r="H50"/>
      <c r="J50"/>
      <c r="K50"/>
      <c r="L50"/>
    </row>
    <row r="51" spans="1:12" x14ac:dyDescent="0.45">
      <c r="A51" s="3"/>
      <c r="B51"/>
      <c r="C51"/>
      <c r="D51"/>
      <c r="E51"/>
      <c r="F51"/>
      <c r="G51"/>
      <c r="H51"/>
      <c r="J51"/>
      <c r="K51"/>
      <c r="L51"/>
    </row>
    <row r="52" spans="1:12" x14ac:dyDescent="0.45">
      <c r="A52" s="3"/>
      <c r="B52"/>
      <c r="C52"/>
      <c r="D52"/>
      <c r="E52"/>
      <c r="F52"/>
      <c r="G52"/>
      <c r="H52"/>
      <c r="J52"/>
      <c r="K52"/>
      <c r="L52"/>
    </row>
    <row r="53" spans="1:12" x14ac:dyDescent="0.45">
      <c r="A53" s="3"/>
      <c r="B53"/>
      <c r="C53"/>
      <c r="D53"/>
      <c r="E53"/>
      <c r="F53"/>
      <c r="G53"/>
      <c r="H53"/>
      <c r="J53"/>
      <c r="K53"/>
      <c r="L53"/>
    </row>
    <row r="54" spans="1:12" x14ac:dyDescent="0.45">
      <c r="A54" s="3"/>
      <c r="B54"/>
      <c r="C54"/>
      <c r="D54"/>
      <c r="E54"/>
      <c r="F54"/>
      <c r="G54"/>
      <c r="H54"/>
      <c r="J54"/>
      <c r="K54"/>
      <c r="L54"/>
    </row>
    <row r="55" spans="1:12" x14ac:dyDescent="0.45">
      <c r="A55" s="3"/>
      <c r="B55"/>
      <c r="C55"/>
      <c r="D55"/>
      <c r="E55"/>
      <c r="F55"/>
      <c r="G55"/>
      <c r="H55"/>
      <c r="J55"/>
      <c r="K55"/>
      <c r="L55"/>
    </row>
    <row r="56" spans="1:12" x14ac:dyDescent="0.45">
      <c r="A56" s="3"/>
      <c r="B56"/>
      <c r="C56"/>
      <c r="D56"/>
      <c r="E56"/>
      <c r="F56"/>
      <c r="G56"/>
      <c r="H56"/>
      <c r="J56"/>
      <c r="K56"/>
      <c r="L56"/>
    </row>
    <row r="57" spans="1:12" x14ac:dyDescent="0.45">
      <c r="A57" s="3"/>
      <c r="B57"/>
      <c r="C57"/>
      <c r="D57"/>
      <c r="E57"/>
      <c r="F57"/>
      <c r="G57"/>
      <c r="H57"/>
      <c r="J57"/>
      <c r="K57"/>
      <c r="L57"/>
    </row>
    <row r="58" spans="1:12" x14ac:dyDescent="0.45">
      <c r="A58" s="3"/>
      <c r="B58"/>
      <c r="C58"/>
      <c r="D58"/>
      <c r="E58"/>
      <c r="F58"/>
      <c r="G58"/>
      <c r="H58"/>
      <c r="J58"/>
      <c r="K58"/>
      <c r="L58"/>
    </row>
    <row r="59" spans="1:12" x14ac:dyDescent="0.45">
      <c r="A59" s="3"/>
      <c r="B59"/>
      <c r="C59"/>
      <c r="D59"/>
      <c r="E59"/>
      <c r="F59"/>
      <c r="G59"/>
      <c r="H59"/>
      <c r="J59"/>
      <c r="K59"/>
      <c r="L59"/>
    </row>
    <row r="60" spans="1:12" x14ac:dyDescent="0.45">
      <c r="A60" s="3"/>
      <c r="B60"/>
      <c r="C60"/>
      <c r="D60"/>
      <c r="E60"/>
      <c r="F60"/>
      <c r="G60"/>
      <c r="H60"/>
      <c r="J60"/>
      <c r="K60"/>
      <c r="L60"/>
    </row>
    <row r="61" spans="1:12" x14ac:dyDescent="0.45">
      <c r="A61" s="3"/>
      <c r="B61"/>
      <c r="C61"/>
      <c r="D61"/>
      <c r="E61"/>
      <c r="F61"/>
      <c r="G61"/>
      <c r="H61"/>
      <c r="J61"/>
      <c r="K61"/>
      <c r="L61"/>
    </row>
    <row r="62" spans="1:12" x14ac:dyDescent="0.45">
      <c r="A62" s="3"/>
      <c r="B62"/>
      <c r="C62"/>
      <c r="D62"/>
      <c r="E62"/>
      <c r="F62"/>
      <c r="G62"/>
      <c r="H62"/>
      <c r="J62"/>
      <c r="K62"/>
      <c r="L62"/>
    </row>
    <row r="63" spans="1:12" x14ac:dyDescent="0.45">
      <c r="A63" s="3"/>
      <c r="B63"/>
      <c r="C63"/>
      <c r="D63"/>
      <c r="E63"/>
      <c r="F63"/>
      <c r="G63"/>
      <c r="H63"/>
      <c r="J63"/>
      <c r="K63"/>
      <c r="L63"/>
    </row>
    <row r="64" spans="1:12" x14ac:dyDescent="0.45">
      <c r="A64" s="3"/>
      <c r="B64"/>
      <c r="C64"/>
      <c r="D64"/>
      <c r="E64"/>
      <c r="F64"/>
      <c r="G64"/>
      <c r="H64"/>
      <c r="J64"/>
      <c r="K64"/>
      <c r="L64"/>
    </row>
    <row r="65" spans="1:12" x14ac:dyDescent="0.45">
      <c r="A65" s="3"/>
      <c r="B65"/>
      <c r="C65"/>
      <c r="D65"/>
      <c r="E65"/>
      <c r="F65"/>
      <c r="G65"/>
      <c r="H65"/>
      <c r="J65"/>
      <c r="K65"/>
      <c r="L65"/>
    </row>
    <row r="66" spans="1:12" x14ac:dyDescent="0.45">
      <c r="A66" s="3"/>
      <c r="B66"/>
      <c r="C66"/>
      <c r="D66"/>
      <c r="E66"/>
      <c r="F66"/>
      <c r="G66"/>
      <c r="H66"/>
      <c r="J66"/>
      <c r="K66"/>
      <c r="L66"/>
    </row>
    <row r="67" spans="1:12" x14ac:dyDescent="0.45">
      <c r="A67" s="3"/>
      <c r="B67"/>
      <c r="C67"/>
      <c r="D67"/>
      <c r="E67"/>
      <c r="F67"/>
      <c r="G67"/>
      <c r="H67"/>
      <c r="J67"/>
      <c r="K67"/>
      <c r="L67"/>
    </row>
    <row r="68" spans="1:12" x14ac:dyDescent="0.45">
      <c r="A68" s="3"/>
      <c r="B68"/>
      <c r="C68"/>
      <c r="D68"/>
      <c r="E68"/>
      <c r="F68"/>
      <c r="G68"/>
      <c r="H68"/>
      <c r="J68"/>
      <c r="K68"/>
      <c r="L68"/>
    </row>
    <row r="69" spans="1:12" x14ac:dyDescent="0.45">
      <c r="A69" s="3"/>
      <c r="B69"/>
      <c r="C69"/>
      <c r="D69"/>
      <c r="E69"/>
      <c r="F69"/>
      <c r="G69"/>
      <c r="H69"/>
      <c r="J69"/>
      <c r="K69"/>
      <c r="L69"/>
    </row>
    <row r="70" spans="1:12" x14ac:dyDescent="0.45">
      <c r="A70" s="3"/>
      <c r="B70"/>
      <c r="C70"/>
      <c r="D70"/>
      <c r="E70"/>
      <c r="F70"/>
      <c r="G70"/>
      <c r="H70"/>
      <c r="J70"/>
      <c r="K70"/>
      <c r="L70"/>
    </row>
    <row r="71" spans="1:12" x14ac:dyDescent="0.45">
      <c r="A71" s="3"/>
      <c r="B71"/>
      <c r="C71"/>
      <c r="D71"/>
      <c r="E71"/>
      <c r="F71"/>
      <c r="G71"/>
      <c r="H71"/>
      <c r="J71"/>
      <c r="K71"/>
      <c r="L71"/>
    </row>
    <row r="72" spans="1:12" x14ac:dyDescent="0.45">
      <c r="A72" s="3"/>
      <c r="B72"/>
      <c r="C72"/>
      <c r="D72"/>
      <c r="E72"/>
      <c r="F72"/>
      <c r="G72"/>
      <c r="H72"/>
      <c r="J72"/>
      <c r="K72"/>
      <c r="L72"/>
    </row>
    <row r="73" spans="1:12" x14ac:dyDescent="0.45">
      <c r="A73" s="3"/>
      <c r="B73"/>
      <c r="C73"/>
      <c r="D73"/>
      <c r="E73"/>
      <c r="F73"/>
      <c r="G73"/>
      <c r="H73"/>
      <c r="J73"/>
      <c r="K73"/>
      <c r="L73"/>
    </row>
    <row r="74" spans="1:12" x14ac:dyDescent="0.45">
      <c r="A74" s="3"/>
      <c r="B74"/>
      <c r="C74"/>
      <c r="D74"/>
      <c r="E74"/>
      <c r="F74"/>
      <c r="G74"/>
      <c r="H74"/>
      <c r="J74"/>
      <c r="K74"/>
      <c r="L74"/>
    </row>
    <row r="75" spans="1:12" x14ac:dyDescent="0.45">
      <c r="A75" s="3"/>
      <c r="B75"/>
      <c r="C75"/>
      <c r="D75"/>
      <c r="E75"/>
      <c r="F75"/>
      <c r="G75"/>
      <c r="H75"/>
      <c r="J75"/>
      <c r="K75"/>
      <c r="L75"/>
    </row>
    <row r="76" spans="1:12" x14ac:dyDescent="0.45">
      <c r="A76" s="3"/>
      <c r="B76"/>
      <c r="C76"/>
      <c r="D76"/>
      <c r="E76"/>
      <c r="F76"/>
      <c r="G76"/>
      <c r="H76"/>
      <c r="J76"/>
      <c r="K76"/>
      <c r="L76"/>
    </row>
    <row r="77" spans="1:12" x14ac:dyDescent="0.45">
      <c r="A77" s="3"/>
      <c r="B77"/>
      <c r="C77"/>
      <c r="D77"/>
      <c r="E77"/>
      <c r="F77"/>
      <c r="G77"/>
      <c r="H77"/>
      <c r="J77"/>
      <c r="K77"/>
      <c r="L77"/>
    </row>
    <row r="78" spans="1:12" x14ac:dyDescent="0.45">
      <c r="A78" s="3"/>
      <c r="B78"/>
      <c r="C78"/>
      <c r="D78"/>
      <c r="E78"/>
      <c r="F78"/>
      <c r="G78"/>
      <c r="H78"/>
      <c r="J78"/>
      <c r="K78"/>
      <c r="L78"/>
    </row>
    <row r="79" spans="1:12" x14ac:dyDescent="0.45">
      <c r="A79" s="3"/>
      <c r="B79"/>
      <c r="C79"/>
      <c r="D79"/>
      <c r="E79"/>
      <c r="F79"/>
      <c r="G79"/>
      <c r="H79"/>
      <c r="J79"/>
      <c r="K79"/>
      <c r="L79"/>
    </row>
    <row r="80" spans="1:12" x14ac:dyDescent="0.45">
      <c r="A80" s="3"/>
      <c r="B80"/>
      <c r="C80"/>
      <c r="D80"/>
      <c r="E80"/>
      <c r="F80"/>
      <c r="G80"/>
      <c r="H80"/>
      <c r="J80"/>
      <c r="K80"/>
      <c r="L80"/>
    </row>
    <row r="81" spans="1:12" x14ac:dyDescent="0.45">
      <c r="A81" s="3"/>
      <c r="B81"/>
      <c r="C81"/>
      <c r="D81"/>
      <c r="E81"/>
      <c r="F81"/>
      <c r="G81"/>
      <c r="H81"/>
      <c r="J81"/>
      <c r="K81"/>
      <c r="L81"/>
    </row>
    <row r="82" spans="1:12" x14ac:dyDescent="0.45">
      <c r="A82" s="3"/>
      <c r="B82"/>
      <c r="C82"/>
      <c r="D82"/>
      <c r="E82"/>
      <c r="F82"/>
      <c r="G82"/>
      <c r="H82"/>
      <c r="J82"/>
      <c r="K82"/>
      <c r="L82"/>
    </row>
    <row r="83" spans="1:12" x14ac:dyDescent="0.45">
      <c r="A83" s="3"/>
      <c r="B83"/>
      <c r="C83"/>
      <c r="D83"/>
      <c r="E83"/>
      <c r="F83"/>
      <c r="G83"/>
      <c r="H83"/>
      <c r="J83"/>
      <c r="K83"/>
      <c r="L83"/>
    </row>
    <row r="84" spans="1:12" x14ac:dyDescent="0.45">
      <c r="A84" s="3"/>
      <c r="B84"/>
      <c r="C84"/>
      <c r="D84"/>
      <c r="E84"/>
      <c r="F84"/>
      <c r="G84"/>
      <c r="H84"/>
      <c r="J84"/>
      <c r="K84"/>
      <c r="L84"/>
    </row>
    <row r="85" spans="1:12" x14ac:dyDescent="0.45">
      <c r="A85" s="3"/>
      <c r="B85"/>
      <c r="C85"/>
      <c r="D85"/>
      <c r="E85"/>
      <c r="F85"/>
      <c r="G85"/>
      <c r="H85"/>
      <c r="J85"/>
      <c r="K85"/>
      <c r="L85"/>
    </row>
    <row r="86" spans="1:12" x14ac:dyDescent="0.45">
      <c r="A86" s="20"/>
      <c r="C86" s="25"/>
    </row>
    <row r="87" spans="1:12" x14ac:dyDescent="0.45">
      <c r="A87" s="20"/>
      <c r="C87" s="25"/>
    </row>
    <row r="88" spans="1:12" x14ac:dyDescent="0.45">
      <c r="A88" s="20"/>
      <c r="C88" s="25"/>
    </row>
    <row r="89" spans="1:12" x14ac:dyDescent="0.45">
      <c r="A89" s="20"/>
      <c r="C89" s="25"/>
    </row>
    <row r="90" spans="1:12" x14ac:dyDescent="0.45">
      <c r="A90" s="20"/>
      <c r="C90" s="25"/>
    </row>
    <row r="91" spans="1:12" x14ac:dyDescent="0.45">
      <c r="A91" s="20"/>
      <c r="C91" s="25"/>
    </row>
    <row r="92" spans="1:12" x14ac:dyDescent="0.45">
      <c r="A92" s="20"/>
      <c r="C92" s="25"/>
    </row>
    <row r="93" spans="1:12" x14ac:dyDescent="0.45">
      <c r="A93" s="20"/>
      <c r="C93" s="25"/>
    </row>
    <row r="94" spans="1:12" x14ac:dyDescent="0.45">
      <c r="A94" s="20"/>
      <c r="C94" s="25"/>
    </row>
    <row r="95" spans="1:12" x14ac:dyDescent="0.45">
      <c r="A95" s="20"/>
      <c r="C95" s="25"/>
    </row>
    <row r="96" spans="1:12" x14ac:dyDescent="0.45">
      <c r="A96" s="20"/>
      <c r="C96" s="25"/>
    </row>
    <row r="97" spans="1:3" x14ac:dyDescent="0.45">
      <c r="A97" s="20"/>
      <c r="C97" s="25"/>
    </row>
    <row r="98" spans="1:3" x14ac:dyDescent="0.45">
      <c r="A98" s="20"/>
      <c r="C98" s="25"/>
    </row>
    <row r="99" spans="1:3" x14ac:dyDescent="0.45">
      <c r="A99" s="20"/>
      <c r="C99" s="25"/>
    </row>
    <row r="100" spans="1:3" x14ac:dyDescent="0.45">
      <c r="A100" s="20"/>
      <c r="C100" s="25"/>
    </row>
    <row r="101" spans="1:3" x14ac:dyDescent="0.45">
      <c r="A101" s="20"/>
      <c r="C101" s="25"/>
    </row>
    <row r="102" spans="1:3" x14ac:dyDescent="0.45">
      <c r="A102" s="20"/>
      <c r="C102" s="25"/>
    </row>
    <row r="103" spans="1:3" x14ac:dyDescent="0.45">
      <c r="A103" s="20"/>
      <c r="C103" s="25"/>
    </row>
    <row r="104" spans="1:3" x14ac:dyDescent="0.45">
      <c r="A104" s="20"/>
      <c r="C104" s="25"/>
    </row>
    <row r="105" spans="1:3" x14ac:dyDescent="0.45">
      <c r="A105" s="20"/>
      <c r="C105" s="25"/>
    </row>
    <row r="106" spans="1:3" x14ac:dyDescent="0.45">
      <c r="A106" s="20"/>
      <c r="C106" s="25"/>
    </row>
    <row r="107" spans="1:3" x14ac:dyDescent="0.45">
      <c r="A107" s="20"/>
      <c r="C107" s="25"/>
    </row>
    <row r="108" spans="1:3" x14ac:dyDescent="0.45">
      <c r="A108" s="20"/>
      <c r="C108" s="25"/>
    </row>
    <row r="109" spans="1:3" x14ac:dyDescent="0.45">
      <c r="A109" s="20"/>
      <c r="C109" s="25"/>
    </row>
    <row r="110" spans="1:3" x14ac:dyDescent="0.45">
      <c r="A110" s="20"/>
      <c r="C110" s="25"/>
    </row>
    <row r="111" spans="1:3" x14ac:dyDescent="0.45">
      <c r="A111" s="20"/>
      <c r="C111" s="25"/>
    </row>
    <row r="112" spans="1:3" x14ac:dyDescent="0.45">
      <c r="A112" s="20"/>
      <c r="C112" s="25"/>
    </row>
    <row r="113" spans="1:3" x14ac:dyDescent="0.45">
      <c r="A113" s="20"/>
      <c r="C113" s="25"/>
    </row>
    <row r="114" spans="1:3" x14ac:dyDescent="0.45">
      <c r="A114" s="20"/>
      <c r="C114" s="25"/>
    </row>
    <row r="115" spans="1:3" x14ac:dyDescent="0.45">
      <c r="A115" s="20"/>
      <c r="C115" s="25"/>
    </row>
    <row r="116" spans="1:3" x14ac:dyDescent="0.45">
      <c r="A116" s="20"/>
      <c r="C116" s="25"/>
    </row>
    <row r="117" spans="1:3" x14ac:dyDescent="0.45">
      <c r="A117" s="20"/>
      <c r="C117" s="25"/>
    </row>
    <row r="118" spans="1:3" x14ac:dyDescent="0.45">
      <c r="A118" s="20"/>
      <c r="C118" s="25"/>
    </row>
    <row r="119" spans="1:3" x14ac:dyDescent="0.45">
      <c r="A119" s="20"/>
      <c r="C119" s="25"/>
    </row>
    <row r="120" spans="1:3" x14ac:dyDescent="0.45">
      <c r="A120" s="20"/>
      <c r="C120" s="25"/>
    </row>
    <row r="121" spans="1:3" x14ac:dyDescent="0.45">
      <c r="A121" s="20"/>
      <c r="C121" s="25"/>
    </row>
    <row r="122" spans="1:3" x14ac:dyDescent="0.45">
      <c r="A122" s="20"/>
      <c r="C122" s="25"/>
    </row>
    <row r="123" spans="1:3" x14ac:dyDescent="0.45">
      <c r="A123" s="20"/>
      <c r="C123" s="25"/>
    </row>
    <row r="124" spans="1:3" x14ac:dyDescent="0.45">
      <c r="A124" s="20"/>
      <c r="C124" s="25"/>
    </row>
    <row r="125" spans="1:3" x14ac:dyDescent="0.45">
      <c r="A125" s="20"/>
      <c r="C125" s="25"/>
    </row>
    <row r="126" spans="1:3" x14ac:dyDescent="0.45">
      <c r="A126" s="20"/>
      <c r="C126" s="25"/>
    </row>
    <row r="127" spans="1:3" x14ac:dyDescent="0.45">
      <c r="A127" s="21"/>
      <c r="C127" s="25"/>
    </row>
    <row r="128" spans="1:3" x14ac:dyDescent="0.45">
      <c r="A128" s="21"/>
      <c r="C128" s="25"/>
    </row>
    <row r="129" spans="1:3" x14ac:dyDescent="0.45">
      <c r="A129" s="21"/>
      <c r="C129" s="25"/>
    </row>
    <row r="130" spans="1:3" x14ac:dyDescent="0.45">
      <c r="A130" s="21"/>
      <c r="C130" s="25"/>
    </row>
    <row r="131" spans="1:3" x14ac:dyDescent="0.45">
      <c r="A131" s="21"/>
      <c r="C131" s="25"/>
    </row>
    <row r="132" spans="1:3" x14ac:dyDescent="0.45">
      <c r="A132" s="21"/>
      <c r="C132" s="25"/>
    </row>
    <row r="133" spans="1:3" x14ac:dyDescent="0.45">
      <c r="A133" s="21"/>
      <c r="C133" s="25"/>
    </row>
    <row r="134" spans="1:3" x14ac:dyDescent="0.45">
      <c r="A134" s="21"/>
      <c r="C134" s="25"/>
    </row>
    <row r="135" spans="1:3" x14ac:dyDescent="0.45">
      <c r="A135" s="21"/>
      <c r="C135" s="25"/>
    </row>
    <row r="136" spans="1:3" x14ac:dyDescent="0.45">
      <c r="A136" s="21"/>
      <c r="C136" s="25"/>
    </row>
    <row r="137" spans="1:3" x14ac:dyDescent="0.45">
      <c r="A137" s="21"/>
      <c r="C137" s="25"/>
    </row>
    <row r="138" spans="1:3" x14ac:dyDescent="0.45">
      <c r="A138" s="21"/>
      <c r="C138" s="25"/>
    </row>
    <row r="139" spans="1:3" x14ac:dyDescent="0.45">
      <c r="A139" s="21"/>
      <c r="C139" s="25"/>
    </row>
    <row r="140" spans="1:3" x14ac:dyDescent="0.45">
      <c r="A140" s="21"/>
      <c r="C140" s="25"/>
    </row>
    <row r="141" spans="1:3" x14ac:dyDescent="0.45">
      <c r="A141" s="21"/>
      <c r="C141" s="25"/>
    </row>
    <row r="142" spans="1:3" x14ac:dyDescent="0.45">
      <c r="A142" s="21"/>
      <c r="C142" s="25"/>
    </row>
    <row r="143" spans="1:3" x14ac:dyDescent="0.45">
      <c r="A143" s="21"/>
      <c r="C143" s="25"/>
    </row>
    <row r="144" spans="1:3" x14ac:dyDescent="0.45">
      <c r="A144" s="21"/>
      <c r="C144" s="25"/>
    </row>
    <row r="145" spans="1:3" x14ac:dyDescent="0.45">
      <c r="A145" s="21"/>
      <c r="C145" s="25"/>
    </row>
    <row r="146" spans="1:3" x14ac:dyDescent="0.45">
      <c r="A146" s="21"/>
      <c r="C146" s="25"/>
    </row>
    <row r="147" spans="1:3" x14ac:dyDescent="0.45">
      <c r="A147" s="21"/>
      <c r="C147" s="25"/>
    </row>
    <row r="148" spans="1:3" x14ac:dyDescent="0.45">
      <c r="A148" s="21"/>
      <c r="C148" s="25"/>
    </row>
    <row r="149" spans="1:3" x14ac:dyDescent="0.45">
      <c r="A149" s="21"/>
      <c r="C149" s="25"/>
    </row>
    <row r="150" spans="1:3" x14ac:dyDescent="0.45">
      <c r="A150" s="21"/>
      <c r="C150" s="25"/>
    </row>
    <row r="151" spans="1:3" x14ac:dyDescent="0.45">
      <c r="A151" s="21"/>
      <c r="C151" s="25"/>
    </row>
    <row r="152" spans="1:3" x14ac:dyDescent="0.45">
      <c r="A152" s="21"/>
      <c r="C152" s="25"/>
    </row>
    <row r="153" spans="1:3" x14ac:dyDescent="0.45">
      <c r="A153" s="21"/>
      <c r="C153" s="25"/>
    </row>
    <row r="154" spans="1:3" x14ac:dyDescent="0.45">
      <c r="A154" s="21"/>
      <c r="C154" s="25"/>
    </row>
    <row r="155" spans="1:3" x14ac:dyDescent="0.45">
      <c r="A155" s="21"/>
      <c r="C155" s="25"/>
    </row>
    <row r="156" spans="1:3" x14ac:dyDescent="0.45">
      <c r="A156" s="21"/>
      <c r="C156" s="25"/>
    </row>
    <row r="157" spans="1:3" x14ac:dyDescent="0.45">
      <c r="A157" s="21"/>
      <c r="C157" s="25"/>
    </row>
    <row r="158" spans="1:3" x14ac:dyDescent="0.45">
      <c r="A158" s="21"/>
      <c r="C158" s="25"/>
    </row>
    <row r="159" spans="1:3" x14ac:dyDescent="0.45">
      <c r="A159" s="21"/>
      <c r="C159" s="25"/>
    </row>
    <row r="160" spans="1:3" x14ac:dyDescent="0.45">
      <c r="A160" s="21"/>
      <c r="C160" s="25"/>
    </row>
    <row r="161" spans="1:3" x14ac:dyDescent="0.45">
      <c r="A161" s="21"/>
      <c r="C161" s="25"/>
    </row>
    <row r="162" spans="1:3" x14ac:dyDescent="0.45">
      <c r="A162" s="21"/>
      <c r="C162" s="25"/>
    </row>
    <row r="163" spans="1:3" x14ac:dyDescent="0.45">
      <c r="A163" s="21"/>
      <c r="C163" s="25"/>
    </row>
    <row r="164" spans="1:3" x14ac:dyDescent="0.45">
      <c r="A164" s="21"/>
      <c r="C164" s="25"/>
    </row>
    <row r="165" spans="1:3" x14ac:dyDescent="0.45">
      <c r="A165" s="21"/>
      <c r="C165" s="25"/>
    </row>
    <row r="166" spans="1:3" x14ac:dyDescent="0.45">
      <c r="A166" s="21"/>
      <c r="C166" s="25"/>
    </row>
    <row r="167" spans="1:3" x14ac:dyDescent="0.45">
      <c r="A167" s="21"/>
      <c r="C167" s="25"/>
    </row>
    <row r="168" spans="1:3" x14ac:dyDescent="0.45">
      <c r="A168" s="21"/>
      <c r="C168" s="25"/>
    </row>
    <row r="169" spans="1:3" x14ac:dyDescent="0.45">
      <c r="A169" s="21"/>
      <c r="C169" s="25"/>
    </row>
    <row r="170" spans="1:3" x14ac:dyDescent="0.45">
      <c r="A170" s="21"/>
      <c r="C170" s="25"/>
    </row>
    <row r="171" spans="1:3" x14ac:dyDescent="0.45">
      <c r="A171" s="21"/>
      <c r="C171" s="25"/>
    </row>
    <row r="172" spans="1:3" x14ac:dyDescent="0.45">
      <c r="A172" s="21"/>
      <c r="C172" s="25"/>
    </row>
    <row r="173" spans="1:3" x14ac:dyDescent="0.45">
      <c r="A173" s="21"/>
      <c r="C173" s="25"/>
    </row>
    <row r="174" spans="1:3" x14ac:dyDescent="0.45">
      <c r="A174" s="21"/>
      <c r="C174" s="25"/>
    </row>
    <row r="175" spans="1:3" x14ac:dyDescent="0.45">
      <c r="A175" s="21"/>
      <c r="C175" s="25"/>
    </row>
    <row r="176" spans="1:3" x14ac:dyDescent="0.45">
      <c r="A176" s="21"/>
      <c r="C176" s="25"/>
    </row>
    <row r="177" spans="1:3" x14ac:dyDescent="0.45">
      <c r="A177" s="21"/>
      <c r="C177" s="25"/>
    </row>
    <row r="178" spans="1:3" x14ac:dyDescent="0.45">
      <c r="A178" s="21"/>
      <c r="C178" s="25"/>
    </row>
    <row r="179" spans="1:3" x14ac:dyDescent="0.45">
      <c r="A179" s="21"/>
      <c r="C179" s="25"/>
    </row>
    <row r="180" spans="1:3" x14ac:dyDescent="0.45">
      <c r="A180" s="21"/>
      <c r="C180" s="25"/>
    </row>
    <row r="181" spans="1:3" x14ac:dyDescent="0.45">
      <c r="A181" s="21"/>
      <c r="C181" s="25"/>
    </row>
    <row r="182" spans="1:3" x14ac:dyDescent="0.45">
      <c r="A182" s="21"/>
      <c r="C182" s="25"/>
    </row>
    <row r="183" spans="1:3" x14ac:dyDescent="0.45">
      <c r="A183" s="21"/>
      <c r="C183" s="25"/>
    </row>
    <row r="184" spans="1:3" x14ac:dyDescent="0.45">
      <c r="A184" s="21"/>
      <c r="C184" s="25"/>
    </row>
    <row r="185" spans="1:3" x14ac:dyDescent="0.45">
      <c r="A185" s="21"/>
      <c r="C185" s="25"/>
    </row>
    <row r="186" spans="1:3" x14ac:dyDescent="0.45">
      <c r="A186" s="21"/>
      <c r="C186" s="25"/>
    </row>
    <row r="187" spans="1:3" x14ac:dyDescent="0.45">
      <c r="A187" s="21"/>
      <c r="C187" s="25"/>
    </row>
    <row r="188" spans="1:3" x14ac:dyDescent="0.45">
      <c r="A188" s="21"/>
      <c r="C188" s="25"/>
    </row>
    <row r="189" spans="1:3" x14ac:dyDescent="0.45">
      <c r="A189" s="21"/>
      <c r="C189" s="25"/>
    </row>
    <row r="190" spans="1:3" x14ac:dyDescent="0.45">
      <c r="A190" s="21"/>
      <c r="C190" s="25"/>
    </row>
    <row r="191" spans="1:3" x14ac:dyDescent="0.45">
      <c r="A191" s="21"/>
      <c r="C191" s="25"/>
    </row>
    <row r="192" spans="1:3" x14ac:dyDescent="0.45">
      <c r="A192" s="21"/>
      <c r="C192" s="25"/>
    </row>
    <row r="193" spans="1:3" x14ac:dyDescent="0.45">
      <c r="A193" s="21"/>
      <c r="C193" s="25"/>
    </row>
    <row r="194" spans="1:3" x14ac:dyDescent="0.45">
      <c r="A194" s="21"/>
      <c r="C194" s="25"/>
    </row>
    <row r="195" spans="1:3" x14ac:dyDescent="0.45">
      <c r="A195" s="21"/>
      <c r="C195" s="25"/>
    </row>
    <row r="196" spans="1:3" x14ac:dyDescent="0.45">
      <c r="A196" s="21"/>
      <c r="C196" s="25"/>
    </row>
    <row r="197" spans="1:3" x14ac:dyDescent="0.45">
      <c r="A197" s="21"/>
      <c r="C197" s="25"/>
    </row>
    <row r="198" spans="1:3" x14ac:dyDescent="0.45">
      <c r="A198" s="21"/>
      <c r="C198" s="25"/>
    </row>
    <row r="199" spans="1:3" x14ac:dyDescent="0.45">
      <c r="A199" s="21"/>
      <c r="C199" s="25"/>
    </row>
    <row r="200" spans="1:3" x14ac:dyDescent="0.45">
      <c r="A200" s="21"/>
      <c r="C200" s="25"/>
    </row>
    <row r="201" spans="1:3" x14ac:dyDescent="0.45">
      <c r="A201" s="21"/>
      <c r="C201" s="25"/>
    </row>
    <row r="202" spans="1:3" x14ac:dyDescent="0.45">
      <c r="A202" s="21"/>
      <c r="C202" s="25"/>
    </row>
    <row r="203" spans="1:3" x14ac:dyDescent="0.45">
      <c r="A203" s="21"/>
      <c r="C203" s="25"/>
    </row>
    <row r="204" spans="1:3" x14ac:dyDescent="0.45">
      <c r="A204" s="21"/>
      <c r="C204" s="25"/>
    </row>
    <row r="205" spans="1:3" x14ac:dyDescent="0.45">
      <c r="A205" s="21"/>
      <c r="C205" s="25"/>
    </row>
    <row r="206" spans="1:3" x14ac:dyDescent="0.45">
      <c r="A206" s="21"/>
      <c r="C206" s="25"/>
    </row>
    <row r="207" spans="1:3" x14ac:dyDescent="0.45">
      <c r="A207" s="21"/>
      <c r="C207" s="25"/>
    </row>
    <row r="208" spans="1:3" x14ac:dyDescent="0.45">
      <c r="A208" s="21"/>
      <c r="C208" s="25"/>
    </row>
    <row r="209" spans="1:3" x14ac:dyDescent="0.45">
      <c r="A209" s="21"/>
      <c r="C209" s="25"/>
    </row>
    <row r="210" spans="1:3" x14ac:dyDescent="0.45">
      <c r="A210" s="21"/>
      <c r="C210" s="25"/>
    </row>
    <row r="211" spans="1:3" x14ac:dyDescent="0.45">
      <c r="A211" s="21"/>
      <c r="C211" s="25"/>
    </row>
    <row r="212" spans="1:3" x14ac:dyDescent="0.45">
      <c r="A212" s="21"/>
      <c r="C212" s="25"/>
    </row>
    <row r="213" spans="1:3" x14ac:dyDescent="0.45">
      <c r="A213" s="21"/>
      <c r="C213" s="25"/>
    </row>
    <row r="214" spans="1:3" x14ac:dyDescent="0.45">
      <c r="A214" s="21"/>
      <c r="C214" s="25"/>
    </row>
    <row r="215" spans="1:3" x14ac:dyDescent="0.45">
      <c r="A215" s="21"/>
      <c r="C215" s="25"/>
    </row>
    <row r="216" spans="1:3" x14ac:dyDescent="0.45">
      <c r="A216" s="21"/>
      <c r="C216" s="25"/>
    </row>
    <row r="217" spans="1:3" x14ac:dyDescent="0.45">
      <c r="A217" s="21"/>
      <c r="C217" s="25"/>
    </row>
    <row r="218" spans="1:3" x14ac:dyDescent="0.45">
      <c r="A218" s="21"/>
      <c r="C218" s="25"/>
    </row>
    <row r="219" spans="1:3" x14ac:dyDescent="0.45">
      <c r="A219" s="21"/>
      <c r="C219" s="25"/>
    </row>
    <row r="220" spans="1:3" x14ac:dyDescent="0.45">
      <c r="A220" s="21"/>
      <c r="C220" s="25"/>
    </row>
    <row r="221" spans="1:3" x14ac:dyDescent="0.45">
      <c r="A221" s="21"/>
      <c r="C221" s="25"/>
    </row>
    <row r="222" spans="1:3" x14ac:dyDescent="0.45">
      <c r="A222" s="21"/>
      <c r="C222" s="25"/>
    </row>
    <row r="223" spans="1:3" x14ac:dyDescent="0.45">
      <c r="A223" s="21"/>
      <c r="C223" s="25"/>
    </row>
    <row r="224" spans="1:3" x14ac:dyDescent="0.45">
      <c r="A224" s="21"/>
      <c r="C224" s="25"/>
    </row>
    <row r="225" spans="1:3" x14ac:dyDescent="0.45">
      <c r="A225" s="21"/>
      <c r="C225" s="25"/>
    </row>
    <row r="226" spans="1:3" x14ac:dyDescent="0.45">
      <c r="A226" s="21"/>
      <c r="C226" s="25"/>
    </row>
    <row r="227" spans="1:3" x14ac:dyDescent="0.45">
      <c r="A227" s="21"/>
      <c r="C227" s="25"/>
    </row>
    <row r="228" spans="1:3" x14ac:dyDescent="0.45">
      <c r="A228" s="21"/>
      <c r="C228" s="25"/>
    </row>
    <row r="229" spans="1:3" x14ac:dyDescent="0.45">
      <c r="A229" s="21"/>
      <c r="C229" s="25"/>
    </row>
    <row r="230" spans="1:3" x14ac:dyDescent="0.45">
      <c r="A230" s="21"/>
      <c r="C230" s="25"/>
    </row>
    <row r="231" spans="1:3" x14ac:dyDescent="0.45">
      <c r="A231" s="21"/>
      <c r="C231" s="25"/>
    </row>
    <row r="232" spans="1:3" x14ac:dyDescent="0.45">
      <c r="A232" s="21"/>
      <c r="C232" s="25"/>
    </row>
    <row r="233" spans="1:3" x14ac:dyDescent="0.45">
      <c r="A233" s="21"/>
      <c r="C233" s="25"/>
    </row>
    <row r="234" spans="1:3" x14ac:dyDescent="0.45">
      <c r="A234" s="21"/>
      <c r="C234" s="25"/>
    </row>
    <row r="235" spans="1:3" x14ac:dyDescent="0.45">
      <c r="A235" s="21"/>
      <c r="C235" s="25"/>
    </row>
    <row r="236" spans="1:3" x14ac:dyDescent="0.45">
      <c r="A236" s="21"/>
      <c r="C236" s="25"/>
    </row>
    <row r="237" spans="1:3" x14ac:dyDescent="0.45">
      <c r="A237" s="21"/>
      <c r="C237" s="25"/>
    </row>
    <row r="238" spans="1:3" x14ac:dyDescent="0.45">
      <c r="A238" s="21"/>
      <c r="C238" s="25"/>
    </row>
    <row r="239" spans="1:3" x14ac:dyDescent="0.45">
      <c r="A239" s="21"/>
      <c r="C239" s="25"/>
    </row>
    <row r="240" spans="1:3" x14ac:dyDescent="0.45">
      <c r="A240" s="21"/>
      <c r="C240" s="25"/>
    </row>
    <row r="241" spans="1:3" x14ac:dyDescent="0.45">
      <c r="A241" s="21"/>
      <c r="C241" s="25"/>
    </row>
    <row r="242" spans="1:3" x14ac:dyDescent="0.45">
      <c r="A242" s="21"/>
      <c r="C242" s="25"/>
    </row>
    <row r="243" spans="1:3" x14ac:dyDescent="0.45">
      <c r="A243" s="21"/>
      <c r="C243" s="25"/>
    </row>
    <row r="244" spans="1:3" x14ac:dyDescent="0.45">
      <c r="A244" s="21"/>
      <c r="C244" s="25"/>
    </row>
    <row r="245" spans="1:3" x14ac:dyDescent="0.45">
      <c r="A245" s="21"/>
      <c r="C245" s="25"/>
    </row>
    <row r="246" spans="1:3" x14ac:dyDescent="0.45">
      <c r="A246" s="21"/>
      <c r="C246" s="25"/>
    </row>
    <row r="247" spans="1:3" x14ac:dyDescent="0.45">
      <c r="A247" s="21"/>
      <c r="C247" s="25"/>
    </row>
    <row r="248" spans="1:3" x14ac:dyDescent="0.45">
      <c r="A248" s="21"/>
      <c r="C248" s="25"/>
    </row>
    <row r="249" spans="1:3" x14ac:dyDescent="0.45">
      <c r="A249" s="21"/>
      <c r="C249" s="25"/>
    </row>
    <row r="250" spans="1:3" x14ac:dyDescent="0.45">
      <c r="A250" s="21"/>
      <c r="C250" s="25"/>
    </row>
    <row r="251" spans="1:3" x14ac:dyDescent="0.45">
      <c r="A251" s="21"/>
      <c r="C251" s="25"/>
    </row>
    <row r="252" spans="1:3" x14ac:dyDescent="0.45">
      <c r="A252" s="21"/>
      <c r="C252" s="25"/>
    </row>
    <row r="253" spans="1:3" x14ac:dyDescent="0.45">
      <c r="A253" s="21"/>
      <c r="C253" s="25"/>
    </row>
    <row r="254" spans="1:3" x14ac:dyDescent="0.45">
      <c r="A254" s="21"/>
      <c r="C254" s="25"/>
    </row>
    <row r="255" spans="1:3" x14ac:dyDescent="0.45">
      <c r="A255" s="21"/>
      <c r="C255" s="25"/>
    </row>
    <row r="256" spans="1:3" x14ac:dyDescent="0.45">
      <c r="A256" s="21"/>
      <c r="C256" s="25"/>
    </row>
    <row r="257" spans="1:3" x14ac:dyDescent="0.45">
      <c r="A257" s="21"/>
      <c r="C257" s="25"/>
    </row>
    <row r="258" spans="1:3" x14ac:dyDescent="0.45">
      <c r="A258" s="21"/>
      <c r="C258" s="25"/>
    </row>
    <row r="259" spans="1:3" x14ac:dyDescent="0.45">
      <c r="A259" s="21"/>
      <c r="C259" s="25"/>
    </row>
    <row r="260" spans="1:3" x14ac:dyDescent="0.45">
      <c r="A260" s="21"/>
      <c r="C260" s="25"/>
    </row>
    <row r="261" spans="1:3" x14ac:dyDescent="0.45">
      <c r="A261" s="21"/>
      <c r="C261" s="25"/>
    </row>
    <row r="262" spans="1:3" x14ac:dyDescent="0.45">
      <c r="A262" s="21"/>
      <c r="C262" s="25"/>
    </row>
    <row r="263" spans="1:3" x14ac:dyDescent="0.45">
      <c r="A263" s="21"/>
      <c r="C263" s="25"/>
    </row>
    <row r="264" spans="1:3" x14ac:dyDescent="0.45">
      <c r="A264" s="21"/>
      <c r="C264" s="25"/>
    </row>
    <row r="265" spans="1:3" x14ac:dyDescent="0.45">
      <c r="A265" s="21"/>
      <c r="C265" s="25"/>
    </row>
    <row r="266" spans="1:3" x14ac:dyDescent="0.45">
      <c r="A266" s="21"/>
      <c r="C266" s="25"/>
    </row>
    <row r="267" spans="1:3" x14ac:dyDescent="0.45">
      <c r="A267" s="21"/>
      <c r="C267" s="25"/>
    </row>
    <row r="268" spans="1:3" x14ac:dyDescent="0.45">
      <c r="A268" s="21"/>
      <c r="C268" s="25"/>
    </row>
    <row r="269" spans="1:3" x14ac:dyDescent="0.45">
      <c r="A269" s="21"/>
      <c r="C269" s="25"/>
    </row>
    <row r="270" spans="1:3" x14ac:dyDescent="0.45">
      <c r="A270" s="21"/>
      <c r="C270" s="25"/>
    </row>
    <row r="271" spans="1:3" x14ac:dyDescent="0.45">
      <c r="A271" s="21"/>
      <c r="C271" s="25"/>
    </row>
    <row r="272" spans="1:3" x14ac:dyDescent="0.45">
      <c r="A272" s="21"/>
      <c r="C272" s="25"/>
    </row>
    <row r="273" spans="1:3" x14ac:dyDescent="0.45">
      <c r="A273" s="21"/>
      <c r="C273" s="25"/>
    </row>
    <row r="274" spans="1:3" x14ac:dyDescent="0.45">
      <c r="A274" s="21"/>
      <c r="C274" s="25"/>
    </row>
    <row r="275" spans="1:3" x14ac:dyDescent="0.45">
      <c r="A275" s="21"/>
      <c r="C275" s="25"/>
    </row>
    <row r="276" spans="1:3" x14ac:dyDescent="0.45">
      <c r="A276" s="21"/>
      <c r="C276" s="25"/>
    </row>
    <row r="277" spans="1:3" x14ac:dyDescent="0.45">
      <c r="A277" s="21"/>
      <c r="C277" s="25"/>
    </row>
    <row r="278" spans="1:3" x14ac:dyDescent="0.45">
      <c r="A278" s="21"/>
      <c r="C278" s="25"/>
    </row>
    <row r="279" spans="1:3" x14ac:dyDescent="0.45">
      <c r="A279" s="21"/>
      <c r="C279" s="25"/>
    </row>
    <row r="280" spans="1:3" x14ac:dyDescent="0.45">
      <c r="A280" s="21"/>
      <c r="C280" s="25"/>
    </row>
    <row r="281" spans="1:3" x14ac:dyDescent="0.45">
      <c r="A281" s="21"/>
      <c r="C281" s="25"/>
    </row>
    <row r="282" spans="1:3" x14ac:dyDescent="0.45">
      <c r="A282" s="21"/>
      <c r="C282" s="25"/>
    </row>
    <row r="283" spans="1:3" x14ac:dyDescent="0.45">
      <c r="A283" s="21"/>
      <c r="C283" s="25"/>
    </row>
    <row r="284" spans="1:3" x14ac:dyDescent="0.45">
      <c r="A284" s="21"/>
      <c r="C284" s="25"/>
    </row>
    <row r="285" spans="1:3" x14ac:dyDescent="0.45">
      <c r="A285" s="21"/>
      <c r="C285" s="25"/>
    </row>
    <row r="286" spans="1:3" x14ac:dyDescent="0.45">
      <c r="A286" s="21"/>
      <c r="C286" s="25"/>
    </row>
    <row r="287" spans="1:3" x14ac:dyDescent="0.45">
      <c r="A287" s="21"/>
      <c r="C287" s="25"/>
    </row>
    <row r="288" spans="1:3" x14ac:dyDescent="0.45">
      <c r="A288" s="21"/>
      <c r="C288" s="25"/>
    </row>
    <row r="289" spans="1:3" x14ac:dyDescent="0.45">
      <c r="A289" s="21"/>
      <c r="C289" s="25"/>
    </row>
    <row r="290" spans="1:3" x14ac:dyDescent="0.45">
      <c r="A290" s="21"/>
      <c r="C290" s="25"/>
    </row>
    <row r="291" spans="1:3" x14ac:dyDescent="0.45">
      <c r="A291" s="21"/>
      <c r="C291" s="25"/>
    </row>
    <row r="292" spans="1:3" x14ac:dyDescent="0.45">
      <c r="A292" s="21"/>
      <c r="C292" s="25"/>
    </row>
    <row r="293" spans="1:3" x14ac:dyDescent="0.45">
      <c r="A293" s="21"/>
      <c r="C293" s="25"/>
    </row>
    <row r="294" spans="1:3" x14ac:dyDescent="0.45">
      <c r="A294" s="21"/>
      <c r="C294" s="25"/>
    </row>
    <row r="295" spans="1:3" x14ac:dyDescent="0.45">
      <c r="A295" s="21"/>
      <c r="C295" s="25"/>
    </row>
    <row r="296" spans="1:3" x14ac:dyDescent="0.45">
      <c r="A296" s="21"/>
      <c r="C296" s="25"/>
    </row>
    <row r="297" spans="1:3" x14ac:dyDescent="0.45">
      <c r="A297" s="21"/>
      <c r="C297" s="25"/>
    </row>
    <row r="298" spans="1:3" x14ac:dyDescent="0.45">
      <c r="A298" s="21"/>
      <c r="C298" s="25"/>
    </row>
    <row r="299" spans="1:3" x14ac:dyDescent="0.45">
      <c r="A299" s="21"/>
      <c r="C299" s="25"/>
    </row>
    <row r="300" spans="1:3" x14ac:dyDescent="0.45">
      <c r="A300" s="21"/>
      <c r="C300" s="25"/>
    </row>
    <row r="301" spans="1:3" x14ac:dyDescent="0.45">
      <c r="A301" s="21"/>
      <c r="C301" s="25"/>
    </row>
    <row r="302" spans="1:3" x14ac:dyDescent="0.45">
      <c r="A302" s="21"/>
      <c r="C302" s="25"/>
    </row>
    <row r="303" spans="1:3" x14ac:dyDescent="0.45">
      <c r="A303" s="21"/>
      <c r="C303" s="25"/>
    </row>
    <row r="304" spans="1:3" x14ac:dyDescent="0.45">
      <c r="A304" s="21"/>
      <c r="C304" s="25"/>
    </row>
    <row r="305" spans="1:3" x14ac:dyDescent="0.45">
      <c r="A305" s="21"/>
      <c r="C305" s="25"/>
    </row>
    <row r="306" spans="1:3" x14ac:dyDescent="0.45">
      <c r="A306" s="21"/>
      <c r="C306" s="25"/>
    </row>
    <row r="307" spans="1:3" x14ac:dyDescent="0.45">
      <c r="A307" s="21"/>
      <c r="C307" s="25"/>
    </row>
    <row r="308" spans="1:3" x14ac:dyDescent="0.45">
      <c r="A308" s="21"/>
      <c r="C308" s="25"/>
    </row>
    <row r="309" spans="1:3" x14ac:dyDescent="0.45">
      <c r="A309" s="21"/>
      <c r="C309" s="25"/>
    </row>
    <row r="310" spans="1:3" x14ac:dyDescent="0.45">
      <c r="A310" s="21"/>
      <c r="C310" s="25"/>
    </row>
    <row r="311" spans="1:3" x14ac:dyDescent="0.45">
      <c r="A311" s="21"/>
      <c r="C311" s="25"/>
    </row>
    <row r="312" spans="1:3" x14ac:dyDescent="0.45">
      <c r="A312" s="21"/>
      <c r="C312" s="25"/>
    </row>
    <row r="313" spans="1:3" x14ac:dyDescent="0.45">
      <c r="A313" s="21"/>
      <c r="C313" s="25"/>
    </row>
    <row r="314" spans="1:3" x14ac:dyDescent="0.45">
      <c r="A314" s="21"/>
      <c r="C314" s="25"/>
    </row>
    <row r="315" spans="1:3" x14ac:dyDescent="0.45">
      <c r="A315" s="21"/>
      <c r="C315" s="25"/>
    </row>
    <row r="316" spans="1:3" x14ac:dyDescent="0.45">
      <c r="A316" s="21"/>
      <c r="C316" s="25"/>
    </row>
    <row r="317" spans="1:3" x14ac:dyDescent="0.45">
      <c r="A317" s="21"/>
      <c r="C317" s="25"/>
    </row>
    <row r="318" spans="1:3" x14ac:dyDescent="0.45">
      <c r="A318" s="21"/>
      <c r="C318" s="25"/>
    </row>
    <row r="319" spans="1:3" x14ac:dyDescent="0.45">
      <c r="A319" s="21"/>
      <c r="C319" s="25"/>
    </row>
    <row r="320" spans="1:3" x14ac:dyDescent="0.45">
      <c r="A320" s="21"/>
      <c r="C320" s="25"/>
    </row>
    <row r="321" spans="1:3" x14ac:dyDescent="0.45">
      <c r="A321" s="21"/>
      <c r="C321" s="25"/>
    </row>
    <row r="322" spans="1:3" x14ac:dyDescent="0.45">
      <c r="A322" s="21"/>
      <c r="C322" s="25"/>
    </row>
    <row r="323" spans="1:3" x14ac:dyDescent="0.45">
      <c r="A323" s="21"/>
      <c r="C323" s="25"/>
    </row>
    <row r="324" spans="1:3" x14ac:dyDescent="0.45">
      <c r="A324" s="21"/>
      <c r="C324" s="25"/>
    </row>
    <row r="325" spans="1:3" x14ac:dyDescent="0.45">
      <c r="A325" s="21"/>
      <c r="C325" s="25"/>
    </row>
    <row r="326" spans="1:3" x14ac:dyDescent="0.45">
      <c r="A326" s="21"/>
      <c r="C326" s="25"/>
    </row>
    <row r="327" spans="1:3" x14ac:dyDescent="0.45">
      <c r="A327" s="21"/>
      <c r="C327" s="25"/>
    </row>
    <row r="328" spans="1:3" x14ac:dyDescent="0.45">
      <c r="A328" s="21"/>
      <c r="C328" s="25"/>
    </row>
    <row r="329" spans="1:3" x14ac:dyDescent="0.45">
      <c r="A329" s="21"/>
      <c r="C329" s="25"/>
    </row>
    <row r="330" spans="1:3" x14ac:dyDescent="0.45">
      <c r="A330" s="21"/>
      <c r="C330" s="25"/>
    </row>
    <row r="331" spans="1:3" x14ac:dyDescent="0.45">
      <c r="A331" s="21"/>
      <c r="C331" s="25"/>
    </row>
    <row r="332" spans="1:3" x14ac:dyDescent="0.45">
      <c r="A332" s="21"/>
      <c r="C332" s="25"/>
    </row>
    <row r="333" spans="1:3" x14ac:dyDescent="0.45">
      <c r="A333" s="21"/>
      <c r="C333" s="25"/>
    </row>
    <row r="334" spans="1:3" x14ac:dyDescent="0.45">
      <c r="A334" s="21"/>
      <c r="C334" s="25"/>
    </row>
    <row r="335" spans="1:3" x14ac:dyDescent="0.45">
      <c r="A335" s="21"/>
      <c r="C335" s="25"/>
    </row>
    <row r="336" spans="1:3" x14ac:dyDescent="0.45">
      <c r="A336" s="21"/>
      <c r="C336" s="25"/>
    </row>
    <row r="337" spans="1:3" x14ac:dyDescent="0.45">
      <c r="A337" s="21"/>
      <c r="C337" s="25"/>
    </row>
    <row r="338" spans="1:3" x14ac:dyDescent="0.45">
      <c r="A338" s="21"/>
      <c r="C338" s="25"/>
    </row>
    <row r="339" spans="1:3" x14ac:dyDescent="0.45">
      <c r="A339" s="21"/>
      <c r="C339" s="25"/>
    </row>
    <row r="340" spans="1:3" x14ac:dyDescent="0.45">
      <c r="A340" s="21"/>
      <c r="C340" s="25"/>
    </row>
    <row r="341" spans="1:3" x14ac:dyDescent="0.45">
      <c r="A341" s="21"/>
      <c r="C341" s="25"/>
    </row>
    <row r="342" spans="1:3" x14ac:dyDescent="0.45">
      <c r="A342" s="21"/>
      <c r="C342" s="25"/>
    </row>
    <row r="343" spans="1:3" x14ac:dyDescent="0.45">
      <c r="A343" s="21"/>
      <c r="C343" s="25"/>
    </row>
    <row r="344" spans="1:3" x14ac:dyDescent="0.45">
      <c r="A344" s="21"/>
      <c r="C344" s="25"/>
    </row>
    <row r="345" spans="1:3" x14ac:dyDescent="0.45">
      <c r="A345" s="21"/>
      <c r="C345" s="25"/>
    </row>
    <row r="346" spans="1:3" x14ac:dyDescent="0.45">
      <c r="A346" s="21"/>
      <c r="C346" s="25"/>
    </row>
    <row r="347" spans="1:3" x14ac:dyDescent="0.45">
      <c r="A347" s="21"/>
      <c r="C347" s="25"/>
    </row>
    <row r="348" spans="1:3" x14ac:dyDescent="0.45">
      <c r="A348" s="21"/>
      <c r="C348" s="25"/>
    </row>
    <row r="349" spans="1:3" x14ac:dyDescent="0.45">
      <c r="A349" s="21"/>
      <c r="C349" s="25"/>
    </row>
    <row r="350" spans="1:3" x14ac:dyDescent="0.45">
      <c r="A350" s="21"/>
      <c r="C350" s="25"/>
    </row>
    <row r="351" spans="1:3" x14ac:dyDescent="0.45">
      <c r="A351" s="21"/>
      <c r="C351" s="25"/>
    </row>
    <row r="352" spans="1:3" x14ac:dyDescent="0.45">
      <c r="A352" s="21"/>
      <c r="C352" s="25"/>
    </row>
    <row r="353" spans="1:3" x14ac:dyDescent="0.45">
      <c r="A353" s="21"/>
      <c r="C353" s="25"/>
    </row>
    <row r="354" spans="1:3" x14ac:dyDescent="0.45">
      <c r="A354" s="21"/>
      <c r="C354" s="25"/>
    </row>
    <row r="355" spans="1:3" x14ac:dyDescent="0.45">
      <c r="A355" s="21"/>
      <c r="C355" s="25"/>
    </row>
    <row r="356" spans="1:3" x14ac:dyDescent="0.45">
      <c r="A356" s="21"/>
      <c r="C356" s="25"/>
    </row>
    <row r="357" spans="1:3" x14ac:dyDescent="0.45">
      <c r="A357" s="21"/>
      <c r="C357" s="25"/>
    </row>
    <row r="358" spans="1:3" x14ac:dyDescent="0.45">
      <c r="A358" s="21"/>
      <c r="C358" s="25"/>
    </row>
    <row r="359" spans="1:3" x14ac:dyDescent="0.45">
      <c r="A359" s="21"/>
      <c r="C359" s="25"/>
    </row>
    <row r="360" spans="1:3" x14ac:dyDescent="0.45">
      <c r="A360" s="21"/>
      <c r="C360" s="25"/>
    </row>
    <row r="361" spans="1:3" x14ac:dyDescent="0.45">
      <c r="A361" s="21"/>
      <c r="C361" s="25"/>
    </row>
    <row r="362" spans="1:3" x14ac:dyDescent="0.45">
      <c r="A362" s="21"/>
      <c r="C362" s="25"/>
    </row>
    <row r="363" spans="1:3" x14ac:dyDescent="0.45">
      <c r="A363" s="21"/>
      <c r="C363" s="25"/>
    </row>
    <row r="364" spans="1:3" x14ac:dyDescent="0.45">
      <c r="A364" s="21"/>
      <c r="C364" s="25"/>
    </row>
    <row r="365" spans="1:3" x14ac:dyDescent="0.45">
      <c r="A365" s="21"/>
      <c r="C365" s="25"/>
    </row>
    <row r="366" spans="1:3" x14ac:dyDescent="0.45">
      <c r="A366" s="21"/>
      <c r="C366" s="25"/>
    </row>
    <row r="367" spans="1:3" x14ac:dyDescent="0.45">
      <c r="A367" s="21"/>
      <c r="C367" s="25"/>
    </row>
    <row r="368" spans="1:3" x14ac:dyDescent="0.45">
      <c r="A368" s="21"/>
      <c r="C368" s="25"/>
    </row>
    <row r="369" spans="1:3" x14ac:dyDescent="0.45">
      <c r="A369" s="21"/>
      <c r="C369" s="25"/>
    </row>
    <row r="370" spans="1:3" x14ac:dyDescent="0.45">
      <c r="A370" s="21"/>
      <c r="C370" s="25"/>
    </row>
    <row r="371" spans="1:3" x14ac:dyDescent="0.45">
      <c r="A371" s="21"/>
      <c r="C371" s="25"/>
    </row>
    <row r="372" spans="1:3" x14ac:dyDescent="0.45">
      <c r="A372" s="21"/>
      <c r="C372" s="25"/>
    </row>
    <row r="373" spans="1:3" x14ac:dyDescent="0.45">
      <c r="A373" s="21"/>
      <c r="C373" s="25"/>
    </row>
    <row r="374" spans="1:3" x14ac:dyDescent="0.45">
      <c r="A374" s="21"/>
      <c r="C374" s="25"/>
    </row>
    <row r="375" spans="1:3" x14ac:dyDescent="0.45">
      <c r="A375" s="21"/>
      <c r="C375" s="25"/>
    </row>
    <row r="376" spans="1:3" x14ac:dyDescent="0.45">
      <c r="A376" s="21"/>
      <c r="C376" s="25"/>
    </row>
    <row r="377" spans="1:3" x14ac:dyDescent="0.45">
      <c r="A377" s="21"/>
      <c r="C377" s="25"/>
    </row>
    <row r="378" spans="1:3" x14ac:dyDescent="0.45">
      <c r="A378" s="21"/>
      <c r="C378" s="25"/>
    </row>
    <row r="379" spans="1:3" x14ac:dyDescent="0.45">
      <c r="A379" s="21"/>
      <c r="C379" s="25"/>
    </row>
    <row r="380" spans="1:3" x14ac:dyDescent="0.45">
      <c r="A380" s="21"/>
      <c r="C380" s="25"/>
    </row>
    <row r="381" spans="1:3" x14ac:dyDescent="0.45">
      <c r="A381" s="21"/>
      <c r="C381" s="25"/>
    </row>
    <row r="382" spans="1:3" x14ac:dyDescent="0.45">
      <c r="A382" s="21"/>
      <c r="C382" s="25"/>
    </row>
    <row r="383" spans="1:3" x14ac:dyDescent="0.45">
      <c r="A383" s="21"/>
      <c r="C383" s="25"/>
    </row>
    <row r="384" spans="1:3" x14ac:dyDescent="0.45">
      <c r="A384" s="21"/>
      <c r="C384" s="25"/>
    </row>
    <row r="385" spans="1:3" x14ac:dyDescent="0.45">
      <c r="A385" s="21"/>
      <c r="C385" s="25"/>
    </row>
    <row r="386" spans="1:3" x14ac:dyDescent="0.45">
      <c r="A386" s="21"/>
      <c r="C386" s="25"/>
    </row>
    <row r="387" spans="1:3" x14ac:dyDescent="0.45">
      <c r="A387" s="21"/>
      <c r="C387" s="25"/>
    </row>
    <row r="388" spans="1:3" x14ac:dyDescent="0.45">
      <c r="A388" s="21"/>
      <c r="C388" s="25"/>
    </row>
    <row r="389" spans="1:3" x14ac:dyDescent="0.45">
      <c r="A389" s="21"/>
      <c r="C389" s="25"/>
    </row>
    <row r="390" spans="1:3" x14ac:dyDescent="0.45">
      <c r="A390" s="21"/>
      <c r="C390" s="25"/>
    </row>
    <row r="391" spans="1:3" x14ac:dyDescent="0.45">
      <c r="A391" s="21"/>
      <c r="C391" s="25"/>
    </row>
    <row r="392" spans="1:3" x14ac:dyDescent="0.45">
      <c r="A392" s="21"/>
      <c r="C392" s="25"/>
    </row>
    <row r="393" spans="1:3" x14ac:dyDescent="0.45">
      <c r="A393" s="21"/>
      <c r="C393" s="25"/>
    </row>
    <row r="394" spans="1:3" x14ac:dyDescent="0.45">
      <c r="A394" s="21"/>
      <c r="C394" s="25"/>
    </row>
    <row r="395" spans="1:3" x14ac:dyDescent="0.45">
      <c r="A395" s="21"/>
      <c r="C395" s="25"/>
    </row>
    <row r="396" spans="1:3" x14ac:dyDescent="0.45">
      <c r="A396" s="21"/>
      <c r="C396" s="25"/>
    </row>
    <row r="397" spans="1:3" x14ac:dyDescent="0.45">
      <c r="A397" s="21"/>
      <c r="C397" s="25"/>
    </row>
    <row r="398" spans="1:3" x14ac:dyDescent="0.45">
      <c r="A398" s="21"/>
      <c r="C398" s="25"/>
    </row>
    <row r="399" spans="1:3" x14ac:dyDescent="0.45">
      <c r="A399" s="21"/>
      <c r="C399" s="25"/>
    </row>
    <row r="400" spans="1:3" x14ac:dyDescent="0.45">
      <c r="A400" s="21"/>
      <c r="C400" s="25"/>
    </row>
    <row r="401" spans="1:3" x14ac:dyDescent="0.45">
      <c r="A401" s="21"/>
      <c r="C401" s="25"/>
    </row>
    <row r="402" spans="1:3" x14ac:dyDescent="0.45">
      <c r="A402" s="21"/>
      <c r="C402" s="25"/>
    </row>
    <row r="403" spans="1:3" x14ac:dyDescent="0.45">
      <c r="A403" s="21"/>
      <c r="C403" s="25"/>
    </row>
    <row r="404" spans="1:3" x14ac:dyDescent="0.45">
      <c r="A404" s="21"/>
      <c r="C404" s="25"/>
    </row>
    <row r="405" spans="1:3" x14ac:dyDescent="0.45">
      <c r="A405" s="21"/>
      <c r="C405" s="25"/>
    </row>
    <row r="406" spans="1:3" x14ac:dyDescent="0.45">
      <c r="A406" s="21"/>
      <c r="C406" s="25"/>
    </row>
    <row r="407" spans="1:3" x14ac:dyDescent="0.45">
      <c r="A407" s="21"/>
      <c r="C407" s="25"/>
    </row>
    <row r="408" spans="1:3" x14ac:dyDescent="0.45">
      <c r="A408" s="21"/>
      <c r="C408" s="25"/>
    </row>
    <row r="409" spans="1:3" x14ac:dyDescent="0.45">
      <c r="A409" s="21"/>
      <c r="C409" s="25"/>
    </row>
    <row r="410" spans="1:3" x14ac:dyDescent="0.45">
      <c r="A410" s="21"/>
      <c r="C410" s="25"/>
    </row>
    <row r="411" spans="1:3" x14ac:dyDescent="0.45">
      <c r="A411" s="21"/>
      <c r="C411" s="25"/>
    </row>
    <row r="412" spans="1:3" x14ac:dyDescent="0.45">
      <c r="A412" s="21"/>
      <c r="C412" s="25"/>
    </row>
    <row r="413" spans="1:3" x14ac:dyDescent="0.45">
      <c r="A413" s="21"/>
      <c r="C413" s="25"/>
    </row>
    <row r="414" spans="1:3" x14ac:dyDescent="0.45">
      <c r="A414" s="21"/>
      <c r="C414" s="25"/>
    </row>
    <row r="415" spans="1:3" x14ac:dyDescent="0.45">
      <c r="A415" s="21"/>
      <c r="C415" s="25"/>
    </row>
    <row r="416" spans="1:3" x14ac:dyDescent="0.45">
      <c r="A416" s="21"/>
      <c r="C416" s="25"/>
    </row>
    <row r="417" spans="1:3" x14ac:dyDescent="0.45">
      <c r="A417" s="21"/>
      <c r="C417" s="25"/>
    </row>
    <row r="418" spans="1:3" x14ac:dyDescent="0.45">
      <c r="A418" s="21"/>
      <c r="C418" s="25"/>
    </row>
    <row r="419" spans="1:3" x14ac:dyDescent="0.45">
      <c r="A419" s="21"/>
      <c r="C419" s="25"/>
    </row>
    <row r="420" spans="1:3" x14ac:dyDescent="0.45">
      <c r="A420" s="21"/>
      <c r="C420" s="25"/>
    </row>
    <row r="421" spans="1:3" x14ac:dyDescent="0.45">
      <c r="A421" s="21"/>
      <c r="C421" s="25"/>
    </row>
    <row r="422" spans="1:3" x14ac:dyDescent="0.45">
      <c r="A422" s="21"/>
      <c r="C422" s="25"/>
    </row>
    <row r="423" spans="1:3" x14ac:dyDescent="0.45">
      <c r="A423" s="21"/>
      <c r="C423" s="25"/>
    </row>
    <row r="424" spans="1:3" x14ac:dyDescent="0.45">
      <c r="A424" s="21"/>
      <c r="C424" s="25"/>
    </row>
    <row r="425" spans="1:3" x14ac:dyDescent="0.45">
      <c r="A425" s="21"/>
      <c r="C425" s="25"/>
    </row>
    <row r="426" spans="1:3" x14ac:dyDescent="0.45">
      <c r="A426" s="21"/>
      <c r="C426" s="25"/>
    </row>
    <row r="427" spans="1:3" x14ac:dyDescent="0.45">
      <c r="A427" s="21"/>
      <c r="C427" s="25"/>
    </row>
    <row r="428" spans="1:3" x14ac:dyDescent="0.45">
      <c r="A428" s="21"/>
      <c r="C428" s="25"/>
    </row>
    <row r="429" spans="1:3" x14ac:dyDescent="0.45">
      <c r="A429" s="21"/>
      <c r="C429" s="25"/>
    </row>
    <row r="430" spans="1:3" x14ac:dyDescent="0.45">
      <c r="A430" s="21"/>
      <c r="C430" s="25"/>
    </row>
    <row r="431" spans="1:3" x14ac:dyDescent="0.45">
      <c r="A431" s="21"/>
      <c r="C431" s="25"/>
    </row>
    <row r="432" spans="1:3" x14ac:dyDescent="0.45">
      <c r="A432" s="21"/>
      <c r="C432" s="25"/>
    </row>
    <row r="433" spans="1:3" x14ac:dyDescent="0.45">
      <c r="A433" s="21"/>
      <c r="C433" s="25"/>
    </row>
    <row r="434" spans="1:3" x14ac:dyDescent="0.45">
      <c r="A434" s="21"/>
      <c r="C434" s="25"/>
    </row>
    <row r="435" spans="1:3" x14ac:dyDescent="0.45">
      <c r="A435" s="21"/>
      <c r="C435" s="25"/>
    </row>
    <row r="436" spans="1:3" x14ac:dyDescent="0.45">
      <c r="A436" s="21"/>
      <c r="C436" s="25"/>
    </row>
    <row r="437" spans="1:3" x14ac:dyDescent="0.45">
      <c r="A437" s="21"/>
      <c r="C437" s="25"/>
    </row>
    <row r="438" spans="1:3" x14ac:dyDescent="0.45">
      <c r="A438" s="21"/>
      <c r="C438" s="25"/>
    </row>
    <row r="439" spans="1:3" x14ac:dyDescent="0.45">
      <c r="A439" s="21"/>
      <c r="C439" s="25"/>
    </row>
    <row r="440" spans="1:3" x14ac:dyDescent="0.45">
      <c r="A440" s="21"/>
      <c r="C440" s="25"/>
    </row>
    <row r="441" spans="1:3" x14ac:dyDescent="0.45">
      <c r="A441" s="21"/>
      <c r="C441" s="25"/>
    </row>
    <row r="442" spans="1:3" x14ac:dyDescent="0.45">
      <c r="A442" s="21"/>
      <c r="C442" s="25"/>
    </row>
    <row r="443" spans="1:3" x14ac:dyDescent="0.45">
      <c r="A443" s="21"/>
      <c r="C443" s="25"/>
    </row>
    <row r="444" spans="1:3" x14ac:dyDescent="0.45">
      <c r="A444" s="21"/>
      <c r="C444" s="25"/>
    </row>
    <row r="445" spans="1:3" x14ac:dyDescent="0.45">
      <c r="A445" s="21"/>
      <c r="C445" s="25"/>
    </row>
    <row r="446" spans="1:3" x14ac:dyDescent="0.45">
      <c r="A446" s="21"/>
      <c r="C446" s="25"/>
    </row>
    <row r="447" spans="1:3" x14ac:dyDescent="0.45">
      <c r="A447" s="21"/>
      <c r="C447" s="25"/>
    </row>
    <row r="448" spans="1:3" x14ac:dyDescent="0.45">
      <c r="A448" s="21"/>
      <c r="C448" s="25"/>
    </row>
    <row r="449" spans="1:3" x14ac:dyDescent="0.45">
      <c r="A449" s="21"/>
      <c r="C449" s="25"/>
    </row>
    <row r="450" spans="1:3" x14ac:dyDescent="0.45">
      <c r="A450" s="21"/>
      <c r="C450" s="25"/>
    </row>
    <row r="451" spans="1:3" x14ac:dyDescent="0.45">
      <c r="A451" s="21"/>
      <c r="C451" s="25"/>
    </row>
    <row r="452" spans="1:3" x14ac:dyDescent="0.45">
      <c r="A452" s="21"/>
      <c r="C452" s="25"/>
    </row>
    <row r="453" spans="1:3" x14ac:dyDescent="0.45">
      <c r="A453" s="21"/>
      <c r="C453" s="25"/>
    </row>
    <row r="454" spans="1:3" x14ac:dyDescent="0.45">
      <c r="A454" s="21"/>
      <c r="C454" s="25"/>
    </row>
    <row r="455" spans="1:3" x14ac:dyDescent="0.45">
      <c r="A455" s="21"/>
      <c r="C455" s="25"/>
    </row>
    <row r="456" spans="1:3" x14ac:dyDescent="0.45">
      <c r="A456" s="21"/>
      <c r="C456" s="25"/>
    </row>
    <row r="457" spans="1:3" x14ac:dyDescent="0.45">
      <c r="A457" s="21"/>
      <c r="C457" s="25"/>
    </row>
    <row r="458" spans="1:3" x14ac:dyDescent="0.45">
      <c r="A458" s="21"/>
      <c r="C458" s="25"/>
    </row>
    <row r="459" spans="1:3" x14ac:dyDescent="0.45">
      <c r="A459" s="21"/>
      <c r="C459" s="25"/>
    </row>
    <row r="460" spans="1:3" x14ac:dyDescent="0.45">
      <c r="A460" s="21"/>
      <c r="C460" s="25"/>
    </row>
    <row r="461" spans="1:3" x14ac:dyDescent="0.45">
      <c r="A461" s="21"/>
      <c r="C461" s="25"/>
    </row>
    <row r="462" spans="1:3" x14ac:dyDescent="0.45">
      <c r="A462" s="21"/>
      <c r="C462" s="25"/>
    </row>
    <row r="463" spans="1:3" x14ac:dyDescent="0.45">
      <c r="A463" s="21"/>
      <c r="C463" s="25"/>
    </row>
    <row r="464" spans="1:3" x14ac:dyDescent="0.45">
      <c r="A464" s="21"/>
      <c r="C464" s="25"/>
    </row>
    <row r="465" spans="1:3" x14ac:dyDescent="0.45">
      <c r="A465" s="21"/>
      <c r="C465" s="25"/>
    </row>
    <row r="466" spans="1:3" x14ac:dyDescent="0.45">
      <c r="A466" s="21"/>
      <c r="C466" s="25"/>
    </row>
    <row r="467" spans="1:3" x14ac:dyDescent="0.45">
      <c r="A467" s="21"/>
      <c r="C467" s="25"/>
    </row>
    <row r="468" spans="1:3" x14ac:dyDescent="0.45">
      <c r="A468" s="21"/>
      <c r="C468" s="25"/>
    </row>
    <row r="469" spans="1:3" x14ac:dyDescent="0.45">
      <c r="A469" s="21"/>
      <c r="C469" s="25"/>
    </row>
    <row r="470" spans="1:3" x14ac:dyDescent="0.45">
      <c r="A470" s="21"/>
      <c r="C470" s="25"/>
    </row>
    <row r="471" spans="1:3" x14ac:dyDescent="0.45">
      <c r="A471" s="21"/>
      <c r="C471" s="25"/>
    </row>
    <row r="472" spans="1:3" x14ac:dyDescent="0.45">
      <c r="A472" s="21"/>
      <c r="C472" s="25"/>
    </row>
    <row r="473" spans="1:3" x14ac:dyDescent="0.45">
      <c r="A473" s="21"/>
      <c r="C473" s="25"/>
    </row>
    <row r="474" spans="1:3" x14ac:dyDescent="0.45">
      <c r="A474" s="21"/>
      <c r="C474" s="25"/>
    </row>
    <row r="475" spans="1:3" x14ac:dyDescent="0.45">
      <c r="A475" s="21"/>
      <c r="C475" s="25"/>
    </row>
    <row r="476" spans="1:3" x14ac:dyDescent="0.45">
      <c r="A476" s="21"/>
      <c r="C476" s="25"/>
    </row>
    <row r="477" spans="1:3" x14ac:dyDescent="0.45">
      <c r="A477" s="21"/>
      <c r="C477" s="25"/>
    </row>
    <row r="478" spans="1:3" x14ac:dyDescent="0.45">
      <c r="A478" s="21"/>
      <c r="C478" s="25"/>
    </row>
    <row r="479" spans="1:3" x14ac:dyDescent="0.45">
      <c r="A479" s="21"/>
      <c r="C479" s="25"/>
    </row>
    <row r="480" spans="1:3" x14ac:dyDescent="0.45">
      <c r="A480" s="21"/>
      <c r="C480" s="25"/>
    </row>
    <row r="481" spans="1:3" x14ac:dyDescent="0.45">
      <c r="A481" s="21"/>
      <c r="C481" s="25"/>
    </row>
    <row r="482" spans="1:3" x14ac:dyDescent="0.45">
      <c r="A482" s="21"/>
      <c r="C482" s="25"/>
    </row>
    <row r="483" spans="1:3" x14ac:dyDescent="0.45">
      <c r="A483" s="21"/>
      <c r="C483" s="25"/>
    </row>
    <row r="484" spans="1:3" x14ac:dyDescent="0.45">
      <c r="A484" s="21"/>
      <c r="C484" s="25"/>
    </row>
    <row r="485" spans="1:3" x14ac:dyDescent="0.45">
      <c r="A485" s="21"/>
      <c r="C485" s="25"/>
    </row>
    <row r="486" spans="1:3" x14ac:dyDescent="0.45">
      <c r="A486" s="21"/>
      <c r="C486" s="25"/>
    </row>
    <row r="487" spans="1:3" x14ac:dyDescent="0.45">
      <c r="A487" s="21"/>
      <c r="C487" s="25"/>
    </row>
    <row r="488" spans="1:3" x14ac:dyDescent="0.45">
      <c r="A488" s="21"/>
      <c r="C488" s="25"/>
    </row>
    <row r="489" spans="1:3" x14ac:dyDescent="0.45">
      <c r="A489" s="21"/>
      <c r="C489" s="25"/>
    </row>
    <row r="490" spans="1:3" x14ac:dyDescent="0.45">
      <c r="A490" s="21"/>
      <c r="C490" s="25"/>
    </row>
    <row r="491" spans="1:3" x14ac:dyDescent="0.45">
      <c r="A491" s="21"/>
      <c r="C491" s="25"/>
    </row>
    <row r="492" spans="1:3" x14ac:dyDescent="0.45">
      <c r="A492" s="21"/>
      <c r="C492" s="25"/>
    </row>
    <row r="493" spans="1:3" x14ac:dyDescent="0.45">
      <c r="A493" s="21"/>
      <c r="C493" s="25"/>
    </row>
    <row r="494" spans="1:3" x14ac:dyDescent="0.45">
      <c r="A494" s="21"/>
      <c r="C494" s="25"/>
    </row>
    <row r="495" spans="1:3" x14ac:dyDescent="0.45">
      <c r="A495" s="21"/>
      <c r="C495" s="25"/>
    </row>
    <row r="496" spans="1:3" x14ac:dyDescent="0.45">
      <c r="A496" s="21"/>
      <c r="C496" s="25"/>
    </row>
    <row r="497" spans="1:3" x14ac:dyDescent="0.45">
      <c r="A497" s="21"/>
      <c r="C497" s="25"/>
    </row>
    <row r="498" spans="1:3" x14ac:dyDescent="0.45">
      <c r="A498" s="21"/>
      <c r="C498" s="25"/>
    </row>
    <row r="499" spans="1:3" x14ac:dyDescent="0.45">
      <c r="A499" s="21"/>
      <c r="C499" s="25"/>
    </row>
    <row r="500" spans="1:3" x14ac:dyDescent="0.45">
      <c r="A500" s="21"/>
      <c r="C500" s="25"/>
    </row>
    <row r="501" spans="1:3" x14ac:dyDescent="0.45">
      <c r="A501" s="21"/>
      <c r="C501" s="25"/>
    </row>
    <row r="502" spans="1:3" x14ac:dyDescent="0.45">
      <c r="A502" s="21"/>
      <c r="C502" s="25"/>
    </row>
    <row r="503" spans="1:3" x14ac:dyDescent="0.45">
      <c r="A503" s="21"/>
      <c r="C503" s="25"/>
    </row>
    <row r="504" spans="1:3" x14ac:dyDescent="0.45">
      <c r="A504" s="21"/>
    </row>
    <row r="505" spans="1:3" x14ac:dyDescent="0.45">
      <c r="A505" s="21"/>
    </row>
    <row r="506" spans="1:3" x14ac:dyDescent="0.45">
      <c r="A506" s="21"/>
    </row>
    <row r="507" spans="1:3" x14ac:dyDescent="0.45">
      <c r="A507" s="21"/>
    </row>
    <row r="508" spans="1:3" x14ac:dyDescent="0.45">
      <c r="A508" s="21"/>
    </row>
    <row r="509" spans="1:3" x14ac:dyDescent="0.45">
      <c r="A509" s="21"/>
    </row>
    <row r="510" spans="1:3" x14ac:dyDescent="0.45">
      <c r="A510" s="21"/>
    </row>
    <row r="511" spans="1:3" x14ac:dyDescent="0.45">
      <c r="A511" s="21"/>
    </row>
    <row r="512" spans="1:3" x14ac:dyDescent="0.45">
      <c r="A512" s="21"/>
    </row>
    <row r="513" spans="1:1" x14ac:dyDescent="0.45">
      <c r="A513" s="21"/>
    </row>
    <row r="514" spans="1:1" x14ac:dyDescent="0.45">
      <c r="A514" s="21"/>
    </row>
    <row r="515" spans="1:1" x14ac:dyDescent="0.45">
      <c r="A515" s="21"/>
    </row>
    <row r="516" spans="1:1" x14ac:dyDescent="0.45">
      <c r="A516" s="21"/>
    </row>
    <row r="517" spans="1:1" x14ac:dyDescent="0.45">
      <c r="A517" s="21"/>
    </row>
    <row r="518" spans="1:1" x14ac:dyDescent="0.45">
      <c r="A518" s="21"/>
    </row>
    <row r="519" spans="1:1" x14ac:dyDescent="0.45">
      <c r="A519" s="21"/>
    </row>
    <row r="520" spans="1:1" x14ac:dyDescent="0.45">
      <c r="A520" s="21"/>
    </row>
    <row r="521" spans="1:1" x14ac:dyDescent="0.45">
      <c r="A521" s="21"/>
    </row>
    <row r="522" spans="1:1" x14ac:dyDescent="0.45">
      <c r="A522" s="21"/>
    </row>
    <row r="523" spans="1:1" x14ac:dyDescent="0.45">
      <c r="A523" s="21"/>
    </row>
    <row r="524" spans="1:1" x14ac:dyDescent="0.45">
      <c r="A524" s="21"/>
    </row>
    <row r="525" spans="1:1" x14ac:dyDescent="0.45">
      <c r="A525" s="21"/>
    </row>
    <row r="526" spans="1:1" x14ac:dyDescent="0.45">
      <c r="A526" s="21"/>
    </row>
    <row r="527" spans="1:1" x14ac:dyDescent="0.45">
      <c r="A527" s="21"/>
    </row>
    <row r="528" spans="1:1" x14ac:dyDescent="0.45">
      <c r="A528" s="21"/>
    </row>
    <row r="529" spans="1:1" x14ac:dyDescent="0.45">
      <c r="A529" s="21"/>
    </row>
    <row r="530" spans="1:1" x14ac:dyDescent="0.45">
      <c r="A530" s="21"/>
    </row>
    <row r="531" spans="1:1" x14ac:dyDescent="0.45">
      <c r="A531" s="21"/>
    </row>
    <row r="532" spans="1:1" x14ac:dyDescent="0.45">
      <c r="A532" s="21"/>
    </row>
    <row r="533" spans="1:1" x14ac:dyDescent="0.45">
      <c r="A533" s="21"/>
    </row>
    <row r="534" spans="1:1" x14ac:dyDescent="0.45">
      <c r="A534" s="21"/>
    </row>
    <row r="535" spans="1:1" x14ac:dyDescent="0.45">
      <c r="A535" s="21"/>
    </row>
    <row r="536" spans="1:1" x14ac:dyDescent="0.45">
      <c r="A536" s="21"/>
    </row>
    <row r="537" spans="1:1" x14ac:dyDescent="0.45">
      <c r="A537" s="21"/>
    </row>
    <row r="538" spans="1:1" x14ac:dyDescent="0.45">
      <c r="A538" s="21"/>
    </row>
    <row r="539" spans="1:1" x14ac:dyDescent="0.45">
      <c r="A539" s="21"/>
    </row>
    <row r="540" spans="1:1" x14ac:dyDescent="0.45">
      <c r="A540" s="21"/>
    </row>
    <row r="541" spans="1:1" x14ac:dyDescent="0.45">
      <c r="A541" s="21"/>
    </row>
    <row r="542" spans="1:1" x14ac:dyDescent="0.45">
      <c r="A542" s="21"/>
    </row>
    <row r="543" spans="1:1" x14ac:dyDescent="0.45">
      <c r="A543" s="21"/>
    </row>
    <row r="544" spans="1:1" x14ac:dyDescent="0.45">
      <c r="A544" s="21"/>
    </row>
    <row r="545" spans="1:1" x14ac:dyDescent="0.45">
      <c r="A545" s="21"/>
    </row>
    <row r="546" spans="1:1" x14ac:dyDescent="0.45">
      <c r="A546" s="21"/>
    </row>
    <row r="547" spans="1:1" x14ac:dyDescent="0.45">
      <c r="A547" s="21"/>
    </row>
    <row r="548" spans="1:1" x14ac:dyDescent="0.45">
      <c r="A548" s="21"/>
    </row>
    <row r="549" spans="1:1" x14ac:dyDescent="0.45">
      <c r="A549" s="21"/>
    </row>
    <row r="550" spans="1:1" x14ac:dyDescent="0.45">
      <c r="A550" s="21"/>
    </row>
    <row r="551" spans="1:1" x14ac:dyDescent="0.45">
      <c r="A551" s="21"/>
    </row>
    <row r="552" spans="1:1" x14ac:dyDescent="0.45">
      <c r="A552" s="21"/>
    </row>
    <row r="553" spans="1:1" x14ac:dyDescent="0.45">
      <c r="A553" s="21"/>
    </row>
    <row r="554" spans="1:1" x14ac:dyDescent="0.45">
      <c r="A554" s="21"/>
    </row>
    <row r="555" spans="1:1" x14ac:dyDescent="0.45">
      <c r="A555" s="21"/>
    </row>
    <row r="556" spans="1:1" x14ac:dyDescent="0.45">
      <c r="A556" s="21"/>
    </row>
    <row r="557" spans="1:1" x14ac:dyDescent="0.45">
      <c r="A557" s="21"/>
    </row>
    <row r="558" spans="1:1" x14ac:dyDescent="0.45">
      <c r="A558" s="21"/>
    </row>
    <row r="559" spans="1:1" x14ac:dyDescent="0.45">
      <c r="A559" s="21"/>
    </row>
    <row r="560" spans="1:1" x14ac:dyDescent="0.45">
      <c r="A560" s="21"/>
    </row>
    <row r="561" spans="1:1" x14ac:dyDescent="0.45">
      <c r="A561" s="21"/>
    </row>
    <row r="562" spans="1:1" x14ac:dyDescent="0.45">
      <c r="A562" s="21"/>
    </row>
    <row r="563" spans="1:1" x14ac:dyDescent="0.45">
      <c r="A563" s="21"/>
    </row>
    <row r="564" spans="1:1" x14ac:dyDescent="0.45">
      <c r="A564" s="21"/>
    </row>
    <row r="565" spans="1:1" x14ac:dyDescent="0.45">
      <c r="A565" s="21"/>
    </row>
    <row r="566" spans="1:1" x14ac:dyDescent="0.45">
      <c r="A566" s="21"/>
    </row>
    <row r="567" spans="1:1" x14ac:dyDescent="0.45">
      <c r="A567" s="21"/>
    </row>
    <row r="568" spans="1:1" x14ac:dyDescent="0.45">
      <c r="A568" s="21"/>
    </row>
    <row r="569" spans="1:1" x14ac:dyDescent="0.45">
      <c r="A569" s="21"/>
    </row>
    <row r="570" spans="1:1" x14ac:dyDescent="0.45">
      <c r="A570" s="21"/>
    </row>
    <row r="571" spans="1:1" x14ac:dyDescent="0.45">
      <c r="A571" s="21"/>
    </row>
    <row r="572" spans="1:1" x14ac:dyDescent="0.45">
      <c r="A572" s="21"/>
    </row>
    <row r="573" spans="1:1" x14ac:dyDescent="0.45">
      <c r="A573" s="21"/>
    </row>
    <row r="574" spans="1:1" x14ac:dyDescent="0.45">
      <c r="A574" s="21"/>
    </row>
    <row r="575" spans="1:1" x14ac:dyDescent="0.45">
      <c r="A575" s="21"/>
    </row>
    <row r="576" spans="1:1" x14ac:dyDescent="0.45">
      <c r="A576" s="21"/>
    </row>
    <row r="577" spans="1:1" x14ac:dyDescent="0.45">
      <c r="A577" s="21"/>
    </row>
    <row r="578" spans="1:1" x14ac:dyDescent="0.45">
      <c r="A578" s="21"/>
    </row>
    <row r="579" spans="1:1" x14ac:dyDescent="0.45">
      <c r="A579" s="21"/>
    </row>
    <row r="580" spans="1:1" x14ac:dyDescent="0.45">
      <c r="A580" s="21"/>
    </row>
    <row r="581" spans="1:1" x14ac:dyDescent="0.45">
      <c r="A581" s="21"/>
    </row>
    <row r="582" spans="1:1" x14ac:dyDescent="0.45">
      <c r="A582" s="21"/>
    </row>
    <row r="583" spans="1:1" x14ac:dyDescent="0.45">
      <c r="A583" s="21"/>
    </row>
    <row r="584" spans="1:1" x14ac:dyDescent="0.45">
      <c r="A584" s="21"/>
    </row>
    <row r="585" spans="1:1" x14ac:dyDescent="0.45">
      <c r="A585" s="21"/>
    </row>
    <row r="586" spans="1:1" x14ac:dyDescent="0.45">
      <c r="A586" s="21"/>
    </row>
    <row r="587" spans="1:1" x14ac:dyDescent="0.45">
      <c r="A587" s="21"/>
    </row>
    <row r="588" spans="1:1" x14ac:dyDescent="0.45">
      <c r="A588" s="21"/>
    </row>
    <row r="589" spans="1:1" x14ac:dyDescent="0.45">
      <c r="A589" s="21"/>
    </row>
    <row r="590" spans="1:1" x14ac:dyDescent="0.45">
      <c r="A590" s="21"/>
    </row>
    <row r="591" spans="1:1" x14ac:dyDescent="0.45">
      <c r="A591" s="21"/>
    </row>
    <row r="592" spans="1:1" x14ac:dyDescent="0.45">
      <c r="A592" s="21"/>
    </row>
    <row r="593" spans="1:1" x14ac:dyDescent="0.45">
      <c r="A593" s="21"/>
    </row>
    <row r="594" spans="1:1" x14ac:dyDescent="0.45">
      <c r="A594" s="21"/>
    </row>
    <row r="595" spans="1:1" x14ac:dyDescent="0.45">
      <c r="A595" s="21"/>
    </row>
    <row r="596" spans="1:1" x14ac:dyDescent="0.45">
      <c r="A596" s="21"/>
    </row>
    <row r="597" spans="1:1" x14ac:dyDescent="0.45">
      <c r="A597" s="21"/>
    </row>
    <row r="598" spans="1:1" x14ac:dyDescent="0.45">
      <c r="A598" s="21"/>
    </row>
    <row r="599" spans="1:1" x14ac:dyDescent="0.45">
      <c r="A599" s="21"/>
    </row>
    <row r="600" spans="1:1" x14ac:dyDescent="0.45">
      <c r="A600" s="21"/>
    </row>
    <row r="601" spans="1:1" x14ac:dyDescent="0.45">
      <c r="A601" s="21"/>
    </row>
    <row r="602" spans="1:1" x14ac:dyDescent="0.45">
      <c r="A602" s="21"/>
    </row>
    <row r="603" spans="1:1" x14ac:dyDescent="0.45">
      <c r="A603" s="21"/>
    </row>
    <row r="604" spans="1:1" x14ac:dyDescent="0.45">
      <c r="A604" s="21"/>
    </row>
    <row r="605" spans="1:1" x14ac:dyDescent="0.45">
      <c r="A605" s="21"/>
    </row>
    <row r="606" spans="1:1" x14ac:dyDescent="0.45">
      <c r="A606" s="21"/>
    </row>
    <row r="607" spans="1:1" x14ac:dyDescent="0.45">
      <c r="A607" s="21"/>
    </row>
    <row r="608" spans="1:1" x14ac:dyDescent="0.45">
      <c r="A608" s="21"/>
    </row>
    <row r="609" spans="1:1" x14ac:dyDescent="0.45">
      <c r="A609" s="21"/>
    </row>
    <row r="610" spans="1:1" x14ac:dyDescent="0.45">
      <c r="A610" s="21"/>
    </row>
    <row r="611" spans="1:1" x14ac:dyDescent="0.45">
      <c r="A611" s="21"/>
    </row>
    <row r="612" spans="1:1" x14ac:dyDescent="0.45">
      <c r="A612" s="21"/>
    </row>
    <row r="613" spans="1:1" x14ac:dyDescent="0.45">
      <c r="A613" s="21"/>
    </row>
    <row r="614" spans="1:1" x14ac:dyDescent="0.45">
      <c r="A614" s="21"/>
    </row>
    <row r="615" spans="1:1" x14ac:dyDescent="0.45">
      <c r="A615" s="21"/>
    </row>
    <row r="616" spans="1:1" x14ac:dyDescent="0.45">
      <c r="A616" s="21"/>
    </row>
    <row r="617" spans="1:1" x14ac:dyDescent="0.45">
      <c r="A617" s="21"/>
    </row>
    <row r="618" spans="1:1" x14ac:dyDescent="0.45">
      <c r="A618" s="21"/>
    </row>
    <row r="619" spans="1:1" x14ac:dyDescent="0.45">
      <c r="A619" s="21"/>
    </row>
    <row r="620" spans="1:1" x14ac:dyDescent="0.45">
      <c r="A620" s="21"/>
    </row>
    <row r="621" spans="1:1" x14ac:dyDescent="0.45">
      <c r="A621" s="21"/>
    </row>
    <row r="622" spans="1:1" x14ac:dyDescent="0.45">
      <c r="A622" s="21"/>
    </row>
    <row r="623" spans="1:1" x14ac:dyDescent="0.45">
      <c r="A623" s="21"/>
    </row>
    <row r="624" spans="1:1" x14ac:dyDescent="0.45">
      <c r="A624" s="21"/>
    </row>
    <row r="625" spans="1:1" x14ac:dyDescent="0.45">
      <c r="A625" s="21"/>
    </row>
    <row r="626" spans="1:1" x14ac:dyDescent="0.45">
      <c r="A626" s="21"/>
    </row>
    <row r="627" spans="1:1" x14ac:dyDescent="0.45">
      <c r="A627" s="21"/>
    </row>
    <row r="628" spans="1:1" x14ac:dyDescent="0.45">
      <c r="A628" s="21"/>
    </row>
    <row r="629" spans="1:1" x14ac:dyDescent="0.45">
      <c r="A629" s="21"/>
    </row>
    <row r="630" spans="1:1" x14ac:dyDescent="0.45">
      <c r="A630" s="21"/>
    </row>
    <row r="631" spans="1:1" x14ac:dyDescent="0.45">
      <c r="A631" s="21"/>
    </row>
    <row r="632" spans="1:1" x14ac:dyDescent="0.45">
      <c r="A632" s="21"/>
    </row>
    <row r="633" spans="1:1" x14ac:dyDescent="0.45">
      <c r="A633" s="21"/>
    </row>
    <row r="634" spans="1:1" x14ac:dyDescent="0.45">
      <c r="A634" s="21"/>
    </row>
    <row r="635" spans="1:1" x14ac:dyDescent="0.45">
      <c r="A635" s="21"/>
    </row>
    <row r="636" spans="1:1" x14ac:dyDescent="0.45">
      <c r="A636" s="21"/>
    </row>
    <row r="637" spans="1:1" x14ac:dyDescent="0.45">
      <c r="A637" s="21"/>
    </row>
    <row r="638" spans="1:1" x14ac:dyDescent="0.45">
      <c r="A638" s="21"/>
    </row>
    <row r="639" spans="1:1" x14ac:dyDescent="0.45">
      <c r="A639" s="21"/>
    </row>
    <row r="640" spans="1:1" x14ac:dyDescent="0.45">
      <c r="A640" s="21"/>
    </row>
    <row r="641" spans="1:1" x14ac:dyDescent="0.45">
      <c r="A641" s="21"/>
    </row>
    <row r="642" spans="1:1" x14ac:dyDescent="0.45">
      <c r="A642" s="21"/>
    </row>
    <row r="643" spans="1:1" x14ac:dyDescent="0.45">
      <c r="A643" s="21"/>
    </row>
    <row r="644" spans="1:1" x14ac:dyDescent="0.45">
      <c r="A644" s="21"/>
    </row>
    <row r="645" spans="1:1" x14ac:dyDescent="0.45">
      <c r="A645" s="21"/>
    </row>
    <row r="646" spans="1:1" x14ac:dyDescent="0.45">
      <c r="A646" s="21"/>
    </row>
    <row r="647" spans="1:1" x14ac:dyDescent="0.45">
      <c r="A647" s="21"/>
    </row>
    <row r="648" spans="1:1" x14ac:dyDescent="0.45">
      <c r="A648" s="21"/>
    </row>
    <row r="649" spans="1:1" x14ac:dyDescent="0.45">
      <c r="A649" s="21"/>
    </row>
    <row r="650" spans="1:1" x14ac:dyDescent="0.45">
      <c r="A650" s="21"/>
    </row>
    <row r="651" spans="1:1" x14ac:dyDescent="0.45">
      <c r="A651" s="21"/>
    </row>
  </sheetData>
  <conditionalFormatting sqref="M2 I1:I1048576">
    <cfRule type="cellIs" dxfId="19" priority="107" operator="equal">
      <formula>"Failed"</formula>
    </cfRule>
    <cfRule type="cellIs" dxfId="18" priority="108" operator="equal">
      <formula>"Not Run"</formula>
    </cfRule>
    <cfRule type="cellIs" dxfId="17" priority="109" operator="equal">
      <formula>"Passed"</formula>
    </cfRule>
  </conditionalFormatting>
  <conditionalFormatting sqref="I2:I992">
    <cfRule type="containsText" dxfId="16" priority="85" operator="containsText" text="Blocked">
      <formula>NOT(ISERROR(SEARCH("Blocked",I2)))</formula>
    </cfRule>
  </conditionalFormatting>
  <dataValidations count="5">
    <dataValidation type="list" allowBlank="1" showInputMessage="1" showErrorMessage="1" sqref="M2" xr:uid="{00000000-0002-0000-0100-000000000000}">
      <formula1>"Correct,Incorrect,Suggestion"</formula1>
    </dataValidation>
    <dataValidation type="list" allowBlank="1" showInputMessage="1" showErrorMessage="1" sqref="C2" xr:uid="{00000000-0002-0000-0100-000001000000}">
      <formula1>"Observation, Header, Enfd of File"</formula1>
    </dataValidation>
    <dataValidation type="list" allowBlank="1" showInputMessage="1" showErrorMessage="1" sqref="I2:I790" xr:uid="{00000000-0002-0000-0100-000002000000}">
      <formula1>"Passed,Failed,Blocked,Not Run"</formula1>
    </dataValidation>
    <dataValidation type="list" allowBlank="1" showInputMessage="1" showErrorMessage="1" sqref="I791:I1048576" xr:uid="{00000000-0002-0000-0100-000003000000}">
      <formula1>"Correct,Incorrect,Suggestion,Can't Tested"</formula1>
    </dataValidation>
    <dataValidation type="list" allowBlank="1" showInputMessage="1" showErrorMessage="1" sqref="B2:B34" xr:uid="{00000000-0002-0000-0100-000004000000}">
      <formula1>"Observation, Header, End of File"</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E74AA-35CB-4436-B263-7B29AF03D0EC}">
  <dimension ref="A1:Y676"/>
  <sheetViews>
    <sheetView topLeftCell="D1" zoomScale="74" zoomScaleNormal="50" workbookViewId="0">
      <pane ySplit="1" topLeftCell="A25" activePane="bottomLeft" state="frozen"/>
      <selection pane="bottomLeft" activeCell="E32" sqref="D31:E32"/>
    </sheetView>
  </sheetViews>
  <sheetFormatPr defaultRowHeight="14.25" x14ac:dyDescent="0.45"/>
  <cols>
    <col min="1" max="1" width="8.73046875" customWidth="1"/>
    <col min="2" max="2" width="16.3984375" style="29" customWidth="1"/>
    <col min="3" max="3" width="27" style="2" customWidth="1"/>
    <col min="4" max="4" width="40.86328125" style="3" customWidth="1"/>
    <col min="5" max="6" width="28" style="3" customWidth="1"/>
    <col min="7" max="7" width="27.6640625" style="3" customWidth="1"/>
    <col min="8" max="8" width="36.1328125" style="3" customWidth="1"/>
    <col min="9" max="9" width="19.59765625" style="3" customWidth="1"/>
    <col min="10" max="12" width="23.1328125" style="3" customWidth="1"/>
    <col min="13" max="13" width="23.59765625" customWidth="1"/>
    <col min="14" max="14" width="18.73046875" customWidth="1"/>
    <col min="15" max="25" width="0" hidden="1" customWidth="1"/>
  </cols>
  <sheetData>
    <row r="1" spans="1:25" s="2" customFormat="1" ht="24.75" x14ac:dyDescent="0.45">
      <c r="A1" s="15" t="s">
        <v>3</v>
      </c>
      <c r="B1" s="15" t="s">
        <v>6</v>
      </c>
      <c r="C1" s="15" t="s">
        <v>36</v>
      </c>
      <c r="D1" s="15" t="s">
        <v>0</v>
      </c>
      <c r="E1" s="26" t="s">
        <v>46</v>
      </c>
      <c r="F1" s="15" t="s">
        <v>1</v>
      </c>
      <c r="G1" s="15" t="s">
        <v>2</v>
      </c>
      <c r="H1" s="15" t="s">
        <v>7</v>
      </c>
      <c r="I1" s="16" t="s">
        <v>5</v>
      </c>
      <c r="J1" s="27" t="s">
        <v>33</v>
      </c>
      <c r="K1" s="14" t="s">
        <v>32</v>
      </c>
      <c r="L1" s="17" t="s">
        <v>5</v>
      </c>
      <c r="M1" s="13" t="s">
        <v>33</v>
      </c>
      <c r="N1" s="17" t="s">
        <v>32</v>
      </c>
      <c r="O1" s="1"/>
      <c r="P1" s="1"/>
      <c r="Q1" s="1"/>
      <c r="R1" s="1"/>
      <c r="S1" s="1"/>
      <c r="T1" s="1"/>
      <c r="U1" s="1"/>
      <c r="V1" s="1"/>
      <c r="W1" s="1"/>
      <c r="X1" s="1"/>
      <c r="Y1" s="1"/>
    </row>
    <row r="2" spans="1:25" x14ac:dyDescent="0.45">
      <c r="A2" s="19"/>
      <c r="B2" s="28" t="s">
        <v>34</v>
      </c>
      <c r="C2" s="22"/>
      <c r="D2" s="18" t="s">
        <v>35</v>
      </c>
      <c r="M2" s="3"/>
    </row>
    <row r="3" spans="1:25" ht="99.75" x14ac:dyDescent="0.45">
      <c r="A3" s="20" t="str">
        <f>"TC"&amp;TEXT(ROW(A1)+32,"00")</f>
        <v>TC33</v>
      </c>
      <c r="B3" s="28" t="s">
        <v>31</v>
      </c>
      <c r="C3" s="24" t="s">
        <v>213</v>
      </c>
      <c r="D3" s="3" t="s">
        <v>228</v>
      </c>
      <c r="E3" s="3" t="s">
        <v>202</v>
      </c>
      <c r="F3" s="3" t="s">
        <v>229</v>
      </c>
      <c r="G3" s="3" t="s">
        <v>227</v>
      </c>
      <c r="H3" s="3" t="s">
        <v>230</v>
      </c>
      <c r="I3" s="3" t="s">
        <v>643</v>
      </c>
      <c r="J3" s="3" t="s">
        <v>231</v>
      </c>
      <c r="K3" s="23" t="s">
        <v>63</v>
      </c>
    </row>
    <row r="4" spans="1:25" ht="114" x14ac:dyDescent="0.45">
      <c r="A4" s="20" t="str">
        <f t="shared" ref="A4:A28" si="0">"TC"&amp;TEXT(ROW(A2)+32,"00")</f>
        <v>TC34</v>
      </c>
      <c r="B4" s="28" t="s">
        <v>31</v>
      </c>
      <c r="C4" s="24" t="s">
        <v>213</v>
      </c>
      <c r="D4" s="3" t="s">
        <v>201</v>
      </c>
      <c r="E4" s="3" t="s">
        <v>202</v>
      </c>
      <c r="F4" s="3" t="s">
        <v>204</v>
      </c>
      <c r="G4" s="3" t="s">
        <v>203</v>
      </c>
      <c r="H4" s="3" t="s">
        <v>205</v>
      </c>
      <c r="I4" s="3" t="s">
        <v>643</v>
      </c>
      <c r="J4" s="3" t="s">
        <v>206</v>
      </c>
      <c r="K4" s="23" t="s">
        <v>63</v>
      </c>
    </row>
    <row r="5" spans="1:25" ht="114" x14ac:dyDescent="0.45">
      <c r="A5" s="20" t="str">
        <f t="shared" si="0"/>
        <v>TC35</v>
      </c>
      <c r="B5" s="28" t="s">
        <v>31</v>
      </c>
      <c r="C5" s="24" t="s">
        <v>213</v>
      </c>
      <c r="D5" s="3" t="s">
        <v>207</v>
      </c>
      <c r="E5" s="3" t="s">
        <v>202</v>
      </c>
      <c r="F5" s="3" t="s">
        <v>208</v>
      </c>
      <c r="G5" s="3" t="s">
        <v>209</v>
      </c>
      <c r="H5" s="3" t="s">
        <v>210</v>
      </c>
      <c r="I5" s="3" t="s">
        <v>643</v>
      </c>
      <c r="J5" s="3" t="s">
        <v>211</v>
      </c>
      <c r="K5" s="3" t="s">
        <v>63</v>
      </c>
    </row>
    <row r="6" spans="1:25" ht="128.25" x14ac:dyDescent="0.45">
      <c r="A6" s="20" t="str">
        <f t="shared" si="0"/>
        <v>TC36</v>
      </c>
      <c r="B6" s="28" t="s">
        <v>31</v>
      </c>
      <c r="C6" s="24" t="s">
        <v>233</v>
      </c>
      <c r="D6" s="3" t="s">
        <v>214</v>
      </c>
      <c r="E6" s="3" t="s">
        <v>202</v>
      </c>
      <c r="F6" s="3" t="s">
        <v>215</v>
      </c>
      <c r="G6" s="3" t="s">
        <v>216</v>
      </c>
      <c r="H6" s="3" t="s">
        <v>205</v>
      </c>
      <c r="I6" s="3" t="s">
        <v>643</v>
      </c>
      <c r="J6" s="3" t="s">
        <v>217</v>
      </c>
      <c r="K6" s="23" t="s">
        <v>63</v>
      </c>
    </row>
    <row r="7" spans="1:25" ht="128.25" x14ac:dyDescent="0.45">
      <c r="A7" s="20" t="str">
        <f t="shared" si="0"/>
        <v>TC37</v>
      </c>
      <c r="B7" s="28" t="s">
        <v>31</v>
      </c>
      <c r="C7" s="24" t="s">
        <v>233</v>
      </c>
      <c r="D7" s="3" t="s">
        <v>218</v>
      </c>
      <c r="E7" s="3" t="s">
        <v>202</v>
      </c>
      <c r="F7" s="3" t="s">
        <v>219</v>
      </c>
      <c r="G7" s="3" t="s">
        <v>220</v>
      </c>
      <c r="H7" s="3" t="s">
        <v>221</v>
      </c>
      <c r="I7" s="3" t="s">
        <v>643</v>
      </c>
      <c r="J7" s="3" t="s">
        <v>222</v>
      </c>
      <c r="K7" s="3" t="s">
        <v>63</v>
      </c>
    </row>
    <row r="8" spans="1:25" ht="128.25" x14ac:dyDescent="0.45">
      <c r="A8" s="20" t="str">
        <f t="shared" si="0"/>
        <v>TC38</v>
      </c>
      <c r="B8" s="28" t="s">
        <v>31</v>
      </c>
      <c r="C8" s="24" t="s">
        <v>232</v>
      </c>
      <c r="D8" s="3" t="s">
        <v>234</v>
      </c>
      <c r="E8" s="3" t="s">
        <v>202</v>
      </c>
      <c r="F8" s="3" t="s">
        <v>236</v>
      </c>
      <c r="G8" s="3" t="s">
        <v>235</v>
      </c>
      <c r="H8" s="3" t="s">
        <v>237</v>
      </c>
      <c r="I8" s="3" t="s">
        <v>643</v>
      </c>
      <c r="J8" s="3" t="s">
        <v>238</v>
      </c>
      <c r="K8" s="3" t="s">
        <v>63</v>
      </c>
    </row>
    <row r="9" spans="1:25" ht="114" x14ac:dyDescent="0.45">
      <c r="A9" s="20" t="str">
        <f t="shared" si="0"/>
        <v>TC39</v>
      </c>
      <c r="B9" s="28" t="s">
        <v>31</v>
      </c>
      <c r="C9" s="24" t="s">
        <v>232</v>
      </c>
      <c r="D9" s="3" t="s">
        <v>239</v>
      </c>
      <c r="E9" s="3" t="s">
        <v>202</v>
      </c>
      <c r="F9" s="3" t="s">
        <v>241</v>
      </c>
      <c r="G9" s="3" t="s">
        <v>240</v>
      </c>
      <c r="H9" s="3" t="s">
        <v>242</v>
      </c>
      <c r="I9" s="3" t="s">
        <v>643</v>
      </c>
      <c r="J9" s="3" t="s">
        <v>243</v>
      </c>
      <c r="K9" s="3" t="s">
        <v>63</v>
      </c>
    </row>
    <row r="10" spans="1:25" ht="128.25" x14ac:dyDescent="0.45">
      <c r="A10" s="20" t="str">
        <f t="shared" si="0"/>
        <v>TC40</v>
      </c>
      <c r="B10" s="28" t="s">
        <v>31</v>
      </c>
      <c r="C10" s="24" t="s">
        <v>244</v>
      </c>
      <c r="D10" s="3" t="s">
        <v>245</v>
      </c>
      <c r="E10" s="3" t="s">
        <v>202</v>
      </c>
      <c r="F10" s="3" t="s">
        <v>247</v>
      </c>
      <c r="G10" s="3" t="s">
        <v>246</v>
      </c>
      <c r="H10" s="3" t="s">
        <v>248</v>
      </c>
      <c r="I10" s="3" t="s">
        <v>642</v>
      </c>
      <c r="J10" s="3" t="s">
        <v>249</v>
      </c>
      <c r="K10" s="3" t="s">
        <v>250</v>
      </c>
    </row>
    <row r="11" spans="1:25" ht="142.5" x14ac:dyDescent="0.45">
      <c r="A11" s="20" t="str">
        <f t="shared" si="0"/>
        <v>TC41</v>
      </c>
      <c r="B11" s="28" t="s">
        <v>31</v>
      </c>
      <c r="C11" s="24" t="s">
        <v>244</v>
      </c>
      <c r="D11" s="3" t="s">
        <v>251</v>
      </c>
      <c r="E11" s="3" t="s">
        <v>202</v>
      </c>
      <c r="F11" s="3" t="s">
        <v>252</v>
      </c>
      <c r="G11" s="3" t="s">
        <v>253</v>
      </c>
      <c r="H11" s="3" t="s">
        <v>254</v>
      </c>
      <c r="I11" s="3" t="s">
        <v>642</v>
      </c>
      <c r="J11" s="3" t="s">
        <v>255</v>
      </c>
      <c r="K11" s="3" t="s">
        <v>256</v>
      </c>
    </row>
    <row r="12" spans="1:25" ht="142.5" x14ac:dyDescent="0.45">
      <c r="A12" s="20" t="str">
        <f t="shared" si="0"/>
        <v>TC42</v>
      </c>
      <c r="B12" s="28" t="s">
        <v>31</v>
      </c>
      <c r="C12" s="24" t="s">
        <v>244</v>
      </c>
      <c r="D12" s="3" t="s">
        <v>257</v>
      </c>
      <c r="E12" s="3" t="s">
        <v>202</v>
      </c>
      <c r="F12" s="3" t="s">
        <v>258</v>
      </c>
      <c r="G12" s="3" t="s">
        <v>259</v>
      </c>
      <c r="H12" s="3" t="s">
        <v>260</v>
      </c>
      <c r="I12" s="3" t="s">
        <v>642</v>
      </c>
      <c r="J12" s="3" t="s">
        <v>261</v>
      </c>
      <c r="K12" s="3" t="s">
        <v>262</v>
      </c>
    </row>
    <row r="13" spans="1:25" ht="142.5" x14ac:dyDescent="0.45">
      <c r="A13" s="20" t="str">
        <f t="shared" si="0"/>
        <v>TC43</v>
      </c>
      <c r="B13" s="28" t="s">
        <v>31</v>
      </c>
      <c r="C13" s="24" t="s">
        <v>244</v>
      </c>
      <c r="D13" s="3" t="s">
        <v>263</v>
      </c>
      <c r="E13" s="3" t="s">
        <v>202</v>
      </c>
      <c r="F13" s="3" t="s">
        <v>264</v>
      </c>
      <c r="G13" s="3" t="s">
        <v>265</v>
      </c>
      <c r="H13" s="3" t="s">
        <v>260</v>
      </c>
      <c r="I13" s="3" t="s">
        <v>642</v>
      </c>
      <c r="J13" s="3" t="s">
        <v>266</v>
      </c>
      <c r="K13" s="3" t="s">
        <v>267</v>
      </c>
    </row>
    <row r="14" spans="1:25" ht="142.5" x14ac:dyDescent="0.45">
      <c r="A14" s="20" t="str">
        <f t="shared" si="0"/>
        <v>TC44</v>
      </c>
      <c r="B14" s="28" t="s">
        <v>31</v>
      </c>
      <c r="C14" s="24" t="s">
        <v>244</v>
      </c>
      <c r="D14" s="3" t="s">
        <v>268</v>
      </c>
      <c r="E14" s="3" t="s">
        <v>202</v>
      </c>
      <c r="F14" s="3" t="s">
        <v>269</v>
      </c>
      <c r="G14" s="3" t="s">
        <v>270</v>
      </c>
      <c r="H14" s="3" t="s">
        <v>260</v>
      </c>
      <c r="I14" s="3" t="s">
        <v>642</v>
      </c>
      <c r="J14" s="3" t="s">
        <v>271</v>
      </c>
      <c r="K14" s="3" t="s">
        <v>272</v>
      </c>
    </row>
    <row r="15" spans="1:25" ht="142.5" x14ac:dyDescent="0.45">
      <c r="A15" s="20" t="str">
        <f t="shared" si="0"/>
        <v>TC45</v>
      </c>
      <c r="B15" s="28" t="s">
        <v>31</v>
      </c>
      <c r="C15" s="24" t="s">
        <v>244</v>
      </c>
      <c r="D15" s="3" t="s">
        <v>273</v>
      </c>
      <c r="E15" s="3" t="s">
        <v>202</v>
      </c>
      <c r="F15" s="3" t="s">
        <v>274</v>
      </c>
      <c r="G15" s="3" t="s">
        <v>275</v>
      </c>
      <c r="H15" s="3" t="s">
        <v>260</v>
      </c>
      <c r="I15" s="3" t="s">
        <v>642</v>
      </c>
      <c r="J15" s="3" t="s">
        <v>276</v>
      </c>
      <c r="K15" s="3" t="s">
        <v>277</v>
      </c>
    </row>
    <row r="16" spans="1:25" ht="142.5" x14ac:dyDescent="0.45">
      <c r="A16" s="20" t="str">
        <f t="shared" si="0"/>
        <v>TC46</v>
      </c>
      <c r="B16" s="28" t="s">
        <v>31</v>
      </c>
      <c r="C16" s="24" t="s">
        <v>244</v>
      </c>
      <c r="D16" s="3" t="s">
        <v>278</v>
      </c>
      <c r="E16" s="3" t="s">
        <v>202</v>
      </c>
      <c r="F16" s="3" t="s">
        <v>279</v>
      </c>
      <c r="G16" s="3" t="s">
        <v>280</v>
      </c>
      <c r="H16" s="3" t="s">
        <v>281</v>
      </c>
      <c r="I16" s="3" t="s">
        <v>642</v>
      </c>
      <c r="J16" s="3" t="s">
        <v>282</v>
      </c>
      <c r="K16" s="3" t="s">
        <v>283</v>
      </c>
    </row>
    <row r="17" spans="1:25" ht="128.25" x14ac:dyDescent="0.45">
      <c r="A17" s="20" t="str">
        <f t="shared" si="0"/>
        <v>TC47</v>
      </c>
      <c r="B17" s="28" t="s">
        <v>31</v>
      </c>
      <c r="C17" s="24" t="s">
        <v>244</v>
      </c>
      <c r="D17" s="3" t="s">
        <v>284</v>
      </c>
      <c r="E17" s="3" t="s">
        <v>202</v>
      </c>
      <c r="F17" s="3" t="s">
        <v>285</v>
      </c>
      <c r="G17" s="3" t="s">
        <v>286</v>
      </c>
      <c r="H17" s="3" t="s">
        <v>287</v>
      </c>
      <c r="I17" s="3" t="s">
        <v>642</v>
      </c>
      <c r="J17" s="3" t="s">
        <v>288</v>
      </c>
      <c r="K17" s="3" t="s">
        <v>289</v>
      </c>
    </row>
    <row r="18" spans="1:25" s="3" customFormat="1" ht="142.5" x14ac:dyDescent="0.45">
      <c r="A18" s="20" t="str">
        <f t="shared" si="0"/>
        <v>TC48</v>
      </c>
      <c r="B18" s="28" t="s">
        <v>31</v>
      </c>
      <c r="C18" s="24" t="s">
        <v>244</v>
      </c>
      <c r="D18" s="3" t="s">
        <v>303</v>
      </c>
      <c r="E18" s="3" t="s">
        <v>202</v>
      </c>
      <c r="F18" s="3" t="s">
        <v>290</v>
      </c>
      <c r="G18" s="3" t="s">
        <v>291</v>
      </c>
      <c r="H18" s="3" t="s">
        <v>292</v>
      </c>
      <c r="I18" s="3" t="s">
        <v>642</v>
      </c>
      <c r="J18" s="3" t="s">
        <v>293</v>
      </c>
      <c r="K18" s="3" t="s">
        <v>294</v>
      </c>
      <c r="M18"/>
      <c r="N18"/>
      <c r="O18"/>
      <c r="P18"/>
      <c r="Q18"/>
      <c r="R18"/>
      <c r="S18"/>
      <c r="T18"/>
      <c r="U18"/>
      <c r="V18"/>
      <c r="W18"/>
      <c r="X18"/>
      <c r="Y18"/>
    </row>
    <row r="19" spans="1:25" s="3" customFormat="1" ht="128.25" x14ac:dyDescent="0.45">
      <c r="A19" s="20" t="str">
        <f t="shared" si="0"/>
        <v>TC49</v>
      </c>
      <c r="B19" s="28" t="s">
        <v>31</v>
      </c>
      <c r="C19" s="24" t="s">
        <v>244</v>
      </c>
      <c r="D19" s="3" t="s">
        <v>304</v>
      </c>
      <c r="E19" s="3" t="s">
        <v>202</v>
      </c>
      <c r="F19" s="3" t="s">
        <v>295</v>
      </c>
      <c r="G19" s="3" t="s">
        <v>296</v>
      </c>
      <c r="H19" s="3" t="s">
        <v>112</v>
      </c>
      <c r="I19" s="3" t="s">
        <v>642</v>
      </c>
      <c r="J19" s="3" t="s">
        <v>297</v>
      </c>
      <c r="K19" s="3" t="s">
        <v>298</v>
      </c>
      <c r="M19"/>
      <c r="N19"/>
      <c r="O19"/>
      <c r="P19"/>
      <c r="Q19"/>
      <c r="R19"/>
      <c r="S19"/>
      <c r="T19"/>
      <c r="U19"/>
      <c r="V19"/>
      <c r="W19"/>
      <c r="X19"/>
      <c r="Y19"/>
    </row>
    <row r="20" spans="1:25" s="3" customFormat="1" ht="128.25" x14ac:dyDescent="0.45">
      <c r="A20" s="20" t="str">
        <f t="shared" si="0"/>
        <v>TC50</v>
      </c>
      <c r="B20" s="28" t="s">
        <v>31</v>
      </c>
      <c r="C20" s="24" t="s">
        <v>244</v>
      </c>
      <c r="D20" s="3" t="s">
        <v>305</v>
      </c>
      <c r="E20" s="3" t="s">
        <v>202</v>
      </c>
      <c r="F20" s="3" t="s">
        <v>295</v>
      </c>
      <c r="G20" s="3" t="s">
        <v>301</v>
      </c>
      <c r="H20" s="3" t="s">
        <v>112</v>
      </c>
      <c r="I20" s="3" t="s">
        <v>642</v>
      </c>
      <c r="J20" s="3" t="s">
        <v>297</v>
      </c>
      <c r="K20" s="3" t="s">
        <v>302</v>
      </c>
      <c r="M20"/>
      <c r="N20"/>
      <c r="O20"/>
      <c r="P20"/>
      <c r="Q20"/>
      <c r="R20"/>
      <c r="S20"/>
      <c r="T20"/>
      <c r="U20"/>
      <c r="V20"/>
      <c r="W20"/>
      <c r="X20"/>
      <c r="Y20"/>
    </row>
    <row r="21" spans="1:25" s="3" customFormat="1" ht="142.5" x14ac:dyDescent="0.45">
      <c r="A21" s="20" t="str">
        <f t="shared" si="0"/>
        <v>TC51</v>
      </c>
      <c r="B21" s="28" t="s">
        <v>31</v>
      </c>
      <c r="C21" s="24" t="s">
        <v>299</v>
      </c>
      <c r="D21" s="3" t="s">
        <v>300</v>
      </c>
      <c r="E21" s="3" t="s">
        <v>202</v>
      </c>
      <c r="F21" s="3" t="s">
        <v>306</v>
      </c>
      <c r="G21" s="3" t="s">
        <v>307</v>
      </c>
      <c r="H21" s="3" t="s">
        <v>308</v>
      </c>
      <c r="I21" s="3" t="s">
        <v>643</v>
      </c>
      <c r="J21" s="3" t="s">
        <v>309</v>
      </c>
      <c r="K21" s="3" t="s">
        <v>63</v>
      </c>
      <c r="M21"/>
      <c r="N21"/>
      <c r="O21"/>
      <c r="P21"/>
      <c r="Q21"/>
      <c r="R21"/>
      <c r="S21"/>
      <c r="T21"/>
      <c r="U21"/>
      <c r="V21"/>
      <c r="W21"/>
      <c r="X21"/>
      <c r="Y21"/>
    </row>
    <row r="22" spans="1:25" s="3" customFormat="1" ht="142.5" x14ac:dyDescent="0.45">
      <c r="A22" s="20" t="str">
        <f t="shared" si="0"/>
        <v>TC52</v>
      </c>
      <c r="B22" s="28" t="s">
        <v>31</v>
      </c>
      <c r="C22" s="24" t="s">
        <v>299</v>
      </c>
      <c r="D22" s="3" t="s">
        <v>310</v>
      </c>
      <c r="E22" s="3" t="s">
        <v>202</v>
      </c>
      <c r="F22" s="3" t="s">
        <v>312</v>
      </c>
      <c r="G22" s="3" t="s">
        <v>311</v>
      </c>
      <c r="H22" s="3" t="s">
        <v>313</v>
      </c>
      <c r="I22" s="3" t="s">
        <v>643</v>
      </c>
      <c r="J22" s="3" t="s">
        <v>314</v>
      </c>
      <c r="K22" s="3" t="s">
        <v>63</v>
      </c>
      <c r="M22"/>
      <c r="N22"/>
      <c r="O22"/>
      <c r="P22"/>
      <c r="Q22"/>
      <c r="R22"/>
      <c r="S22"/>
      <c r="T22"/>
      <c r="U22"/>
      <c r="V22"/>
      <c r="W22"/>
      <c r="X22"/>
      <c r="Y22"/>
    </row>
    <row r="23" spans="1:25" s="3" customFormat="1" ht="128.25" x14ac:dyDescent="0.45">
      <c r="A23" s="20" t="str">
        <f t="shared" si="0"/>
        <v>TC53</v>
      </c>
      <c r="B23" s="28" t="s">
        <v>31</v>
      </c>
      <c r="C23" s="24" t="s">
        <v>315</v>
      </c>
      <c r="D23" s="3" t="s">
        <v>316</v>
      </c>
      <c r="E23" s="3" t="s">
        <v>202</v>
      </c>
      <c r="F23" s="3" t="s">
        <v>318</v>
      </c>
      <c r="G23" s="3" t="s">
        <v>317</v>
      </c>
      <c r="H23" s="3" t="s">
        <v>248</v>
      </c>
      <c r="I23" s="3" t="s">
        <v>642</v>
      </c>
      <c r="J23" s="3" t="s">
        <v>319</v>
      </c>
      <c r="K23" s="3" t="s">
        <v>320</v>
      </c>
      <c r="M23"/>
      <c r="N23"/>
      <c r="O23"/>
      <c r="P23"/>
      <c r="Q23"/>
      <c r="R23"/>
      <c r="S23"/>
      <c r="T23"/>
      <c r="U23"/>
      <c r="V23"/>
      <c r="W23"/>
      <c r="X23"/>
      <c r="Y23"/>
    </row>
    <row r="24" spans="1:25" s="3" customFormat="1" ht="142.5" x14ac:dyDescent="0.45">
      <c r="A24" s="20" t="str">
        <f t="shared" si="0"/>
        <v>TC54</v>
      </c>
      <c r="B24" s="28" t="s">
        <v>31</v>
      </c>
      <c r="C24" s="24" t="s">
        <v>315</v>
      </c>
      <c r="D24" s="3" t="s">
        <v>321</v>
      </c>
      <c r="E24" s="3" t="s">
        <v>202</v>
      </c>
      <c r="F24" s="3" t="s">
        <v>323</v>
      </c>
      <c r="G24" s="3" t="s">
        <v>322</v>
      </c>
      <c r="H24" s="3" t="s">
        <v>324</v>
      </c>
      <c r="I24" s="3" t="s">
        <v>642</v>
      </c>
      <c r="J24" s="3" t="s">
        <v>325</v>
      </c>
      <c r="K24" s="3" t="s">
        <v>326</v>
      </c>
      <c r="M24"/>
      <c r="N24"/>
      <c r="O24"/>
      <c r="P24"/>
      <c r="Q24"/>
      <c r="R24"/>
      <c r="S24"/>
      <c r="T24"/>
      <c r="U24"/>
      <c r="V24"/>
      <c r="W24"/>
      <c r="X24"/>
      <c r="Y24"/>
    </row>
    <row r="25" spans="1:25" s="3" customFormat="1" ht="128.25" x14ac:dyDescent="0.45">
      <c r="A25" s="20" t="str">
        <f t="shared" si="0"/>
        <v>TC55</v>
      </c>
      <c r="B25" s="28" t="s">
        <v>31</v>
      </c>
      <c r="C25" s="24" t="s">
        <v>315</v>
      </c>
      <c r="D25" s="3" t="s">
        <v>327</v>
      </c>
      <c r="E25" s="3" t="s">
        <v>202</v>
      </c>
      <c r="F25" s="3" t="s">
        <v>328</v>
      </c>
      <c r="G25" s="3" t="s">
        <v>329</v>
      </c>
      <c r="H25" s="3" t="s">
        <v>117</v>
      </c>
      <c r="I25" s="3" t="s">
        <v>642</v>
      </c>
      <c r="J25" s="3" t="s">
        <v>330</v>
      </c>
      <c r="K25" s="3" t="s">
        <v>335</v>
      </c>
      <c r="M25"/>
      <c r="N25"/>
      <c r="O25"/>
      <c r="P25"/>
      <c r="Q25"/>
      <c r="R25"/>
      <c r="S25"/>
      <c r="T25"/>
      <c r="U25"/>
      <c r="V25"/>
      <c r="W25"/>
      <c r="X25"/>
      <c r="Y25"/>
    </row>
    <row r="26" spans="1:25" s="3" customFormat="1" ht="128.25" x14ac:dyDescent="0.45">
      <c r="A26" s="20" t="str">
        <f t="shared" si="0"/>
        <v>TC56</v>
      </c>
      <c r="B26" s="28" t="s">
        <v>31</v>
      </c>
      <c r="C26" s="24" t="s">
        <v>315</v>
      </c>
      <c r="D26" s="3" t="s">
        <v>331</v>
      </c>
      <c r="E26" s="3" t="s">
        <v>202</v>
      </c>
      <c r="F26" s="3" t="s">
        <v>332</v>
      </c>
      <c r="G26" s="3" t="s">
        <v>333</v>
      </c>
      <c r="H26" s="3" t="s">
        <v>127</v>
      </c>
      <c r="I26" s="3" t="s">
        <v>642</v>
      </c>
      <c r="J26" s="3" t="s">
        <v>334</v>
      </c>
      <c r="K26" s="3" t="s">
        <v>341</v>
      </c>
      <c r="M26"/>
      <c r="N26"/>
      <c r="O26"/>
      <c r="P26"/>
      <c r="Q26"/>
      <c r="R26"/>
      <c r="S26"/>
      <c r="T26"/>
      <c r="U26"/>
      <c r="V26"/>
      <c r="W26"/>
      <c r="X26"/>
      <c r="Y26"/>
    </row>
    <row r="27" spans="1:25" s="3" customFormat="1" ht="142.5" x14ac:dyDescent="0.45">
      <c r="A27" s="20" t="str">
        <f t="shared" si="0"/>
        <v>TC57</v>
      </c>
      <c r="B27" s="28" t="s">
        <v>31</v>
      </c>
      <c r="C27" s="24" t="s">
        <v>315</v>
      </c>
      <c r="D27" s="3" t="s">
        <v>336</v>
      </c>
      <c r="E27" s="3" t="s">
        <v>202</v>
      </c>
      <c r="F27" s="3" t="s">
        <v>337</v>
      </c>
      <c r="G27" s="3" t="s">
        <v>338</v>
      </c>
      <c r="H27" s="3" t="s">
        <v>339</v>
      </c>
      <c r="I27" s="3" t="s">
        <v>642</v>
      </c>
      <c r="J27" s="3" t="s">
        <v>340</v>
      </c>
      <c r="K27" s="3" t="s">
        <v>641</v>
      </c>
      <c r="M27"/>
      <c r="N27"/>
      <c r="O27"/>
      <c r="P27"/>
      <c r="Q27"/>
      <c r="R27"/>
      <c r="S27"/>
      <c r="T27"/>
      <c r="U27"/>
      <c r="V27"/>
      <c r="W27"/>
      <c r="X27"/>
      <c r="Y27"/>
    </row>
    <row r="28" spans="1:25" s="3" customFormat="1" ht="99.75" x14ac:dyDescent="0.45">
      <c r="A28" s="20" t="str">
        <f t="shared" si="0"/>
        <v>TC58</v>
      </c>
      <c r="B28" s="28" t="s">
        <v>31</v>
      </c>
      <c r="C28" s="24" t="s">
        <v>342</v>
      </c>
      <c r="D28" s="3" t="s">
        <v>343</v>
      </c>
      <c r="E28" s="3" t="s">
        <v>202</v>
      </c>
      <c r="F28" s="3" t="s">
        <v>344</v>
      </c>
      <c r="H28" s="3" t="s">
        <v>345</v>
      </c>
      <c r="I28" s="3" t="s">
        <v>643</v>
      </c>
      <c r="J28" s="3" t="s">
        <v>346</v>
      </c>
      <c r="K28" s="3" t="s">
        <v>63</v>
      </c>
      <c r="M28"/>
      <c r="N28"/>
      <c r="O28"/>
      <c r="P28"/>
      <c r="Q28"/>
      <c r="R28"/>
      <c r="S28"/>
      <c r="T28"/>
      <c r="U28"/>
      <c r="V28"/>
      <c r="W28"/>
      <c r="X28"/>
      <c r="Y28"/>
    </row>
    <row r="29" spans="1:25" s="3" customFormat="1" x14ac:dyDescent="0.45">
      <c r="A29" s="20"/>
      <c r="B29" s="28"/>
      <c r="C29" s="22"/>
      <c r="M29"/>
      <c r="N29"/>
      <c r="O29"/>
      <c r="P29"/>
      <c r="Q29"/>
      <c r="R29"/>
      <c r="S29"/>
      <c r="T29"/>
      <c r="U29"/>
      <c r="V29"/>
      <c r="W29"/>
      <c r="X29"/>
      <c r="Y29"/>
    </row>
    <row r="30" spans="1:25" s="3" customFormat="1" x14ac:dyDescent="0.45">
      <c r="A30" s="20"/>
      <c r="B30" s="28"/>
      <c r="C30" s="22"/>
      <c r="M30"/>
      <c r="N30"/>
      <c r="O30"/>
      <c r="P30"/>
      <c r="Q30"/>
      <c r="R30"/>
      <c r="S30"/>
      <c r="T30"/>
      <c r="U30"/>
      <c r="V30"/>
      <c r="W30"/>
      <c r="X30"/>
      <c r="Y30"/>
    </row>
    <row r="31" spans="1:25" s="3" customFormat="1" x14ac:dyDescent="0.45">
      <c r="A31" s="20"/>
      <c r="B31" s="29"/>
      <c r="C31" s="25"/>
      <c r="D31">
        <f>COUNTIF(I:I,"Passed")</f>
        <v>10</v>
      </c>
      <c r="E31" s="3" t="s">
        <v>644</v>
      </c>
      <c r="M31"/>
      <c r="N31"/>
      <c r="O31"/>
      <c r="P31"/>
      <c r="Q31"/>
      <c r="R31"/>
      <c r="S31"/>
      <c r="T31"/>
      <c r="U31"/>
      <c r="V31"/>
      <c r="W31"/>
      <c r="X31"/>
      <c r="Y31"/>
    </row>
    <row r="32" spans="1:25" s="3" customFormat="1" x14ac:dyDescent="0.45">
      <c r="A32" s="20"/>
      <c r="B32" s="29"/>
      <c r="C32" s="25"/>
      <c r="D32">
        <f>COUNTIF(I:I,"Failed")</f>
        <v>16</v>
      </c>
      <c r="E32" s="3" t="s">
        <v>645</v>
      </c>
      <c r="M32"/>
      <c r="N32"/>
      <c r="O32"/>
      <c r="P32"/>
      <c r="Q32"/>
      <c r="R32"/>
      <c r="S32"/>
      <c r="T32"/>
      <c r="U32"/>
      <c r="V32"/>
      <c r="W32"/>
      <c r="X32"/>
      <c r="Y32"/>
    </row>
    <row r="33" spans="1:25" s="3" customFormat="1" x14ac:dyDescent="0.45">
      <c r="A33" s="20"/>
      <c r="B33" s="29"/>
      <c r="C33" s="25"/>
      <c r="M33"/>
      <c r="N33"/>
      <c r="O33"/>
      <c r="P33"/>
      <c r="Q33"/>
      <c r="R33"/>
      <c r="S33"/>
      <c r="T33"/>
      <c r="U33"/>
      <c r="V33"/>
      <c r="W33"/>
      <c r="X33"/>
      <c r="Y33"/>
    </row>
    <row r="34" spans="1:25" s="3" customFormat="1" x14ac:dyDescent="0.45">
      <c r="A34" s="20"/>
      <c r="B34" s="29"/>
      <c r="C34" s="25"/>
      <c r="M34"/>
      <c r="N34"/>
      <c r="O34"/>
      <c r="P34"/>
      <c r="Q34"/>
      <c r="R34"/>
      <c r="S34"/>
      <c r="T34"/>
      <c r="U34"/>
      <c r="V34"/>
      <c r="W34"/>
      <c r="X34"/>
      <c r="Y34"/>
    </row>
    <row r="35" spans="1:25" s="3" customFormat="1" x14ac:dyDescent="0.45">
      <c r="A35" s="20"/>
      <c r="B35" s="29"/>
      <c r="C35" s="25"/>
      <c r="M35"/>
      <c r="N35"/>
      <c r="O35"/>
      <c r="P35"/>
      <c r="Q35"/>
      <c r="R35"/>
      <c r="S35"/>
      <c r="T35"/>
      <c r="U35"/>
      <c r="V35"/>
      <c r="W35"/>
      <c r="X35"/>
      <c r="Y35"/>
    </row>
    <row r="36" spans="1:25" s="3" customFormat="1" x14ac:dyDescent="0.45">
      <c r="A36" s="20"/>
      <c r="B36" s="29"/>
      <c r="C36" s="25"/>
      <c r="M36"/>
      <c r="N36"/>
      <c r="O36"/>
      <c r="P36"/>
      <c r="Q36"/>
      <c r="R36"/>
      <c r="S36"/>
      <c r="T36"/>
      <c r="U36"/>
      <c r="V36"/>
      <c r="W36"/>
      <c r="X36"/>
      <c r="Y36"/>
    </row>
    <row r="37" spans="1:25" s="3" customFormat="1" x14ac:dyDescent="0.45">
      <c r="A37" s="20"/>
      <c r="B37" s="29"/>
      <c r="C37" s="25"/>
      <c r="M37"/>
      <c r="N37"/>
      <c r="O37"/>
      <c r="P37"/>
      <c r="Q37"/>
      <c r="R37"/>
      <c r="S37"/>
      <c r="T37"/>
      <c r="U37"/>
      <c r="V37"/>
      <c r="W37"/>
      <c r="X37"/>
      <c r="Y37"/>
    </row>
    <row r="38" spans="1:25" s="3" customFormat="1" x14ac:dyDescent="0.45">
      <c r="A38" s="20"/>
      <c r="B38" s="29"/>
      <c r="C38" s="25"/>
      <c r="M38"/>
      <c r="N38"/>
      <c r="O38"/>
      <c r="P38"/>
      <c r="Q38"/>
      <c r="R38"/>
      <c r="S38"/>
      <c r="T38"/>
      <c r="U38"/>
      <c r="V38"/>
      <c r="W38"/>
      <c r="X38"/>
      <c r="Y38"/>
    </row>
    <row r="39" spans="1:25" s="3" customFormat="1" x14ac:dyDescent="0.45">
      <c r="A39" s="20"/>
      <c r="B39" s="29"/>
      <c r="C39" s="25"/>
      <c r="M39"/>
      <c r="N39"/>
      <c r="O39"/>
      <c r="P39"/>
      <c r="Q39"/>
      <c r="R39"/>
      <c r="S39"/>
      <c r="T39"/>
      <c r="U39"/>
      <c r="V39"/>
      <c r="W39"/>
      <c r="X39"/>
      <c r="Y39"/>
    </row>
    <row r="40" spans="1:25" s="3" customFormat="1" x14ac:dyDescent="0.45">
      <c r="A40" s="20"/>
      <c r="B40" s="29"/>
      <c r="C40" s="25"/>
      <c r="M40"/>
      <c r="N40"/>
      <c r="O40"/>
      <c r="P40"/>
      <c r="Q40"/>
      <c r="R40"/>
      <c r="S40"/>
      <c r="T40"/>
      <c r="U40"/>
      <c r="V40"/>
      <c r="W40"/>
      <c r="X40"/>
      <c r="Y40"/>
    </row>
    <row r="41" spans="1:25" s="3" customFormat="1" x14ac:dyDescent="0.45">
      <c r="A41" s="20"/>
      <c r="B41" s="29"/>
      <c r="C41" s="25"/>
      <c r="M41"/>
      <c r="N41"/>
      <c r="O41"/>
      <c r="P41"/>
      <c r="Q41"/>
      <c r="R41"/>
      <c r="S41"/>
      <c r="T41"/>
      <c r="U41"/>
      <c r="V41"/>
      <c r="W41"/>
      <c r="X41"/>
      <c r="Y41"/>
    </row>
    <row r="42" spans="1:25" s="3" customFormat="1" x14ac:dyDescent="0.45">
      <c r="A42" s="20"/>
      <c r="B42" s="29"/>
      <c r="C42" s="25"/>
      <c r="M42"/>
      <c r="N42"/>
      <c r="O42"/>
      <c r="P42"/>
      <c r="Q42"/>
      <c r="R42"/>
      <c r="S42"/>
      <c r="T42"/>
      <c r="U42"/>
      <c r="V42"/>
      <c r="W42"/>
      <c r="X42"/>
      <c r="Y42"/>
    </row>
    <row r="43" spans="1:25" s="3" customFormat="1" x14ac:dyDescent="0.45">
      <c r="A43" s="20"/>
      <c r="B43" s="29"/>
      <c r="C43" s="25"/>
      <c r="M43"/>
      <c r="N43"/>
      <c r="O43"/>
      <c r="P43"/>
      <c r="Q43"/>
      <c r="R43"/>
      <c r="S43"/>
      <c r="T43"/>
      <c r="U43"/>
      <c r="V43"/>
      <c r="W43"/>
      <c r="X43"/>
      <c r="Y43"/>
    </row>
    <row r="44" spans="1:25" s="3" customFormat="1" x14ac:dyDescent="0.45">
      <c r="A44" s="20"/>
      <c r="B44" s="29"/>
      <c r="C44" s="25"/>
      <c r="M44"/>
      <c r="N44"/>
      <c r="O44"/>
      <c r="P44"/>
      <c r="Q44"/>
      <c r="R44"/>
      <c r="S44"/>
      <c r="T44"/>
      <c r="U44"/>
      <c r="V44"/>
      <c r="W44"/>
      <c r="X44"/>
      <c r="Y44"/>
    </row>
    <row r="45" spans="1:25" s="3" customFormat="1" x14ac:dyDescent="0.45">
      <c r="A45" s="20"/>
      <c r="B45" s="29"/>
      <c r="C45" s="25"/>
      <c r="M45"/>
      <c r="N45"/>
      <c r="O45"/>
      <c r="P45"/>
      <c r="Q45"/>
      <c r="R45"/>
      <c r="S45"/>
      <c r="T45"/>
      <c r="U45"/>
      <c r="V45"/>
      <c r="W45"/>
      <c r="X45"/>
      <c r="Y45"/>
    </row>
    <row r="46" spans="1:25" s="3" customFormat="1" x14ac:dyDescent="0.45">
      <c r="A46" s="20"/>
      <c r="B46" s="29"/>
      <c r="C46" s="25"/>
      <c r="M46"/>
      <c r="N46"/>
      <c r="O46"/>
      <c r="P46"/>
      <c r="Q46"/>
      <c r="R46"/>
      <c r="S46"/>
      <c r="T46"/>
      <c r="U46"/>
      <c r="V46"/>
      <c r="W46"/>
      <c r="X46"/>
      <c r="Y46"/>
    </row>
    <row r="47" spans="1:25" s="3" customFormat="1" x14ac:dyDescent="0.45">
      <c r="A47" s="20"/>
      <c r="B47" s="29"/>
      <c r="C47" s="25"/>
      <c r="M47"/>
      <c r="N47"/>
      <c r="O47"/>
      <c r="P47"/>
      <c r="Q47"/>
      <c r="R47"/>
      <c r="S47"/>
      <c r="T47"/>
      <c r="U47"/>
      <c r="V47"/>
      <c r="W47"/>
      <c r="X47"/>
      <c r="Y47"/>
    </row>
    <row r="48" spans="1:25" s="3" customFormat="1" x14ac:dyDescent="0.45">
      <c r="A48" s="20"/>
      <c r="B48" s="29"/>
      <c r="C48" s="25"/>
      <c r="M48"/>
      <c r="N48"/>
      <c r="O48"/>
      <c r="P48"/>
      <c r="Q48"/>
      <c r="R48"/>
      <c r="S48"/>
      <c r="T48"/>
      <c r="U48"/>
      <c r="V48"/>
      <c r="W48"/>
      <c r="X48"/>
      <c r="Y48"/>
    </row>
    <row r="49" spans="1:25" s="3" customFormat="1" x14ac:dyDescent="0.45">
      <c r="A49" s="20"/>
      <c r="B49" s="29"/>
      <c r="C49" s="25"/>
      <c r="M49"/>
      <c r="N49"/>
      <c r="O49"/>
      <c r="P49"/>
      <c r="Q49"/>
      <c r="R49"/>
      <c r="S49"/>
      <c r="T49"/>
      <c r="U49"/>
      <c r="V49"/>
      <c r="W49"/>
      <c r="X49"/>
      <c r="Y49"/>
    </row>
    <row r="50" spans="1:25" s="3" customFormat="1" x14ac:dyDescent="0.45">
      <c r="A50" s="20"/>
      <c r="B50" s="29"/>
      <c r="C50" s="25"/>
      <c r="M50"/>
      <c r="N50"/>
      <c r="O50"/>
      <c r="P50"/>
      <c r="Q50"/>
      <c r="R50"/>
      <c r="S50"/>
      <c r="T50"/>
      <c r="U50"/>
      <c r="V50"/>
      <c r="W50"/>
      <c r="X50"/>
      <c r="Y50"/>
    </row>
    <row r="51" spans="1:25" s="3" customFormat="1" x14ac:dyDescent="0.45">
      <c r="A51" s="20"/>
      <c r="B51" s="29"/>
      <c r="C51" s="25"/>
      <c r="M51"/>
      <c r="N51"/>
      <c r="O51"/>
      <c r="P51"/>
      <c r="Q51"/>
      <c r="R51"/>
      <c r="S51"/>
      <c r="T51"/>
      <c r="U51"/>
      <c r="V51"/>
      <c r="W51"/>
      <c r="X51"/>
      <c r="Y51"/>
    </row>
    <row r="52" spans="1:25" s="3" customFormat="1" x14ac:dyDescent="0.45">
      <c r="A52" s="20"/>
      <c r="B52" s="29"/>
      <c r="C52" s="25"/>
      <c r="M52"/>
      <c r="N52"/>
      <c r="O52"/>
      <c r="P52"/>
      <c r="Q52"/>
      <c r="R52"/>
      <c r="S52"/>
      <c r="T52"/>
      <c r="U52"/>
      <c r="V52"/>
      <c r="W52"/>
      <c r="X52"/>
      <c r="Y52"/>
    </row>
    <row r="53" spans="1:25" s="3" customFormat="1" x14ac:dyDescent="0.45">
      <c r="A53" s="20"/>
      <c r="B53" s="29"/>
      <c r="C53" s="25"/>
      <c r="M53"/>
      <c r="N53"/>
      <c r="O53"/>
      <c r="P53"/>
      <c r="Q53"/>
      <c r="R53"/>
      <c r="S53"/>
      <c r="T53"/>
      <c r="U53"/>
      <c r="V53"/>
      <c r="W53"/>
      <c r="X53"/>
      <c r="Y53"/>
    </row>
    <row r="54" spans="1:25" s="3" customFormat="1" x14ac:dyDescent="0.45">
      <c r="A54" s="20"/>
      <c r="B54" s="29"/>
      <c r="C54" s="25"/>
      <c r="M54"/>
      <c r="N54"/>
      <c r="O54"/>
      <c r="P54"/>
      <c r="Q54"/>
      <c r="R54"/>
      <c r="S54"/>
      <c r="T54"/>
      <c r="U54"/>
      <c r="V54"/>
      <c r="W54"/>
      <c r="X54"/>
      <c r="Y54"/>
    </row>
    <row r="55" spans="1:25" s="3" customFormat="1" x14ac:dyDescent="0.45">
      <c r="A55" s="20"/>
      <c r="B55" s="29"/>
      <c r="C55" s="25"/>
      <c r="M55"/>
      <c r="N55"/>
      <c r="O55"/>
      <c r="P55"/>
      <c r="Q55"/>
      <c r="R55"/>
      <c r="S55"/>
      <c r="T55"/>
      <c r="U55"/>
      <c r="V55"/>
      <c r="W55"/>
      <c r="X55"/>
      <c r="Y55"/>
    </row>
    <row r="56" spans="1:25" s="3" customFormat="1" x14ac:dyDescent="0.45">
      <c r="A56" s="20"/>
      <c r="B56" s="29"/>
      <c r="C56" s="25"/>
      <c r="M56"/>
      <c r="N56"/>
      <c r="O56"/>
      <c r="P56"/>
      <c r="Q56"/>
      <c r="R56"/>
      <c r="S56"/>
      <c r="T56"/>
      <c r="U56"/>
      <c r="V56"/>
      <c r="W56"/>
      <c r="X56"/>
      <c r="Y56"/>
    </row>
    <row r="57" spans="1:25" s="3" customFormat="1" x14ac:dyDescent="0.45">
      <c r="A57" s="20"/>
      <c r="B57" s="29"/>
      <c r="C57" s="25"/>
      <c r="M57"/>
      <c r="N57"/>
      <c r="O57"/>
      <c r="P57"/>
      <c r="Q57"/>
      <c r="R57"/>
      <c r="S57"/>
      <c r="T57"/>
      <c r="U57"/>
      <c r="V57"/>
      <c r="W57"/>
      <c r="X57"/>
      <c r="Y57"/>
    </row>
    <row r="58" spans="1:25" s="3" customFormat="1" x14ac:dyDescent="0.45">
      <c r="A58" s="20"/>
      <c r="B58" s="29"/>
      <c r="C58" s="25"/>
      <c r="M58"/>
      <c r="N58"/>
      <c r="O58"/>
      <c r="P58"/>
      <c r="Q58"/>
      <c r="R58"/>
      <c r="S58"/>
      <c r="T58"/>
      <c r="U58"/>
      <c r="V58"/>
      <c r="W58"/>
      <c r="X58"/>
      <c r="Y58"/>
    </row>
    <row r="59" spans="1:25" s="3" customFormat="1" x14ac:dyDescent="0.45">
      <c r="A59" s="20"/>
      <c r="B59" s="29"/>
      <c r="C59" s="25"/>
      <c r="M59"/>
      <c r="N59"/>
      <c r="O59"/>
      <c r="P59"/>
      <c r="Q59"/>
      <c r="R59"/>
      <c r="S59"/>
      <c r="T59"/>
      <c r="U59"/>
      <c r="V59"/>
      <c r="W59"/>
      <c r="X59"/>
      <c r="Y59"/>
    </row>
    <row r="60" spans="1:25" s="3" customFormat="1" x14ac:dyDescent="0.45">
      <c r="A60" s="20"/>
      <c r="B60" s="29"/>
      <c r="C60" s="25"/>
      <c r="M60"/>
      <c r="N60"/>
      <c r="O60"/>
      <c r="P60"/>
      <c r="Q60"/>
      <c r="R60"/>
      <c r="S60"/>
      <c r="T60"/>
      <c r="U60"/>
      <c r="V60"/>
      <c r="W60"/>
      <c r="X60"/>
      <c r="Y60"/>
    </row>
    <row r="61" spans="1:25" s="3" customFormat="1" x14ac:dyDescent="0.45">
      <c r="A61" s="20"/>
      <c r="B61" s="29"/>
      <c r="C61" s="25"/>
      <c r="M61"/>
      <c r="N61"/>
      <c r="O61"/>
      <c r="P61"/>
      <c r="Q61"/>
      <c r="R61"/>
      <c r="S61"/>
      <c r="T61"/>
      <c r="U61"/>
      <c r="V61"/>
      <c r="W61"/>
      <c r="X61"/>
      <c r="Y61"/>
    </row>
    <row r="62" spans="1:25" s="3" customFormat="1" x14ac:dyDescent="0.45">
      <c r="A62" s="20"/>
      <c r="B62" s="29"/>
      <c r="C62" s="25"/>
      <c r="M62"/>
      <c r="N62"/>
      <c r="O62"/>
      <c r="P62"/>
      <c r="Q62"/>
      <c r="R62"/>
      <c r="S62"/>
      <c r="T62"/>
      <c r="U62"/>
      <c r="V62"/>
      <c r="W62"/>
      <c r="X62"/>
      <c r="Y62"/>
    </row>
    <row r="63" spans="1:25" s="3" customFormat="1" x14ac:dyDescent="0.45">
      <c r="A63" s="20"/>
      <c r="B63" s="29"/>
      <c r="C63" s="25"/>
      <c r="M63"/>
      <c r="N63"/>
      <c r="O63"/>
      <c r="P63"/>
      <c r="Q63"/>
      <c r="R63"/>
      <c r="S63"/>
      <c r="T63"/>
      <c r="U63"/>
      <c r="V63"/>
      <c r="W63"/>
      <c r="X63"/>
      <c r="Y63"/>
    </row>
    <row r="64" spans="1:25" s="3" customFormat="1" x14ac:dyDescent="0.45">
      <c r="A64" s="20"/>
      <c r="B64" s="29"/>
      <c r="C64" s="25"/>
      <c r="M64"/>
      <c r="N64"/>
      <c r="O64"/>
      <c r="P64"/>
      <c r="Q64"/>
      <c r="R64"/>
      <c r="S64"/>
      <c r="T64"/>
      <c r="U64"/>
      <c r="V64"/>
      <c r="W64"/>
      <c r="X64"/>
      <c r="Y64"/>
    </row>
    <row r="65" spans="1:25" s="3" customFormat="1" x14ac:dyDescent="0.45">
      <c r="A65" s="20"/>
      <c r="B65" s="29"/>
      <c r="C65" s="25"/>
      <c r="M65"/>
      <c r="N65"/>
      <c r="O65"/>
      <c r="P65"/>
      <c r="Q65"/>
      <c r="R65"/>
      <c r="S65"/>
      <c r="T65"/>
      <c r="U65"/>
      <c r="V65"/>
      <c r="W65"/>
      <c r="X65"/>
      <c r="Y65"/>
    </row>
    <row r="66" spans="1:25" s="3" customFormat="1" x14ac:dyDescent="0.45">
      <c r="A66" s="20"/>
      <c r="B66" s="29"/>
      <c r="C66" s="25"/>
      <c r="M66"/>
      <c r="N66"/>
      <c r="O66"/>
      <c r="P66"/>
      <c r="Q66"/>
      <c r="R66"/>
      <c r="S66"/>
      <c r="T66"/>
      <c r="U66"/>
      <c r="V66"/>
      <c r="W66"/>
      <c r="X66"/>
      <c r="Y66"/>
    </row>
    <row r="67" spans="1:25" s="3" customFormat="1" x14ac:dyDescent="0.45">
      <c r="A67" s="20"/>
      <c r="B67" s="29"/>
      <c r="C67" s="25"/>
      <c r="M67"/>
      <c r="N67"/>
      <c r="O67"/>
      <c r="P67"/>
      <c r="Q67"/>
      <c r="R67"/>
      <c r="S67"/>
      <c r="T67"/>
      <c r="U67"/>
      <c r="V67"/>
      <c r="W67"/>
      <c r="X67"/>
      <c r="Y67"/>
    </row>
    <row r="68" spans="1:25" s="3" customFormat="1" x14ac:dyDescent="0.45">
      <c r="A68" s="20"/>
      <c r="B68" s="29"/>
      <c r="C68" s="25"/>
      <c r="M68"/>
      <c r="N68"/>
      <c r="O68"/>
      <c r="P68"/>
      <c r="Q68"/>
      <c r="R68"/>
      <c r="S68"/>
      <c r="T68"/>
      <c r="U68"/>
      <c r="V68"/>
      <c r="W68"/>
      <c r="X68"/>
      <c r="Y68"/>
    </row>
    <row r="69" spans="1:25" s="3" customFormat="1" x14ac:dyDescent="0.45">
      <c r="A69" s="20"/>
      <c r="B69" s="29"/>
      <c r="C69" s="25"/>
      <c r="M69"/>
      <c r="N69"/>
      <c r="O69"/>
      <c r="P69"/>
      <c r="Q69"/>
      <c r="R69"/>
      <c r="S69"/>
      <c r="T69"/>
      <c r="U69"/>
      <c r="V69"/>
      <c r="W69"/>
      <c r="X69"/>
      <c r="Y69"/>
    </row>
    <row r="70" spans="1:25" s="3" customFormat="1" x14ac:dyDescent="0.45">
      <c r="A70" s="20"/>
      <c r="B70" s="29"/>
      <c r="C70" s="25"/>
      <c r="M70"/>
      <c r="N70"/>
      <c r="O70"/>
      <c r="P70"/>
      <c r="Q70"/>
      <c r="R70"/>
      <c r="S70"/>
      <c r="T70"/>
      <c r="U70"/>
      <c r="V70"/>
      <c r="W70"/>
      <c r="X70"/>
      <c r="Y70"/>
    </row>
    <row r="71" spans="1:25" s="3" customFormat="1" x14ac:dyDescent="0.45">
      <c r="A71" s="20"/>
      <c r="B71" s="29"/>
      <c r="C71" s="25"/>
      <c r="M71"/>
      <c r="N71"/>
      <c r="O71"/>
      <c r="P71"/>
      <c r="Q71"/>
      <c r="R71"/>
      <c r="S71"/>
      <c r="T71"/>
      <c r="U71"/>
      <c r="V71"/>
      <c r="W71"/>
      <c r="X71"/>
      <c r="Y71"/>
    </row>
    <row r="72" spans="1:25" s="3" customFormat="1" x14ac:dyDescent="0.45">
      <c r="A72" s="20"/>
      <c r="B72" s="29"/>
      <c r="C72" s="25"/>
      <c r="M72"/>
      <c r="N72"/>
      <c r="O72"/>
      <c r="P72"/>
      <c r="Q72"/>
      <c r="R72"/>
      <c r="S72"/>
      <c r="T72"/>
      <c r="U72"/>
      <c r="V72"/>
      <c r="W72"/>
      <c r="X72"/>
      <c r="Y72"/>
    </row>
    <row r="73" spans="1:25" s="3" customFormat="1" x14ac:dyDescent="0.45">
      <c r="A73" s="20"/>
      <c r="B73" s="29"/>
      <c r="C73" s="25"/>
      <c r="M73"/>
      <c r="N73"/>
      <c r="O73"/>
      <c r="P73"/>
      <c r="Q73"/>
      <c r="R73"/>
      <c r="S73"/>
      <c r="T73"/>
      <c r="U73"/>
      <c r="V73"/>
      <c r="W73"/>
      <c r="X73"/>
      <c r="Y73"/>
    </row>
    <row r="74" spans="1:25" s="3" customFormat="1" x14ac:dyDescent="0.45">
      <c r="A74" s="20"/>
      <c r="B74" s="29"/>
      <c r="C74" s="25"/>
      <c r="M74"/>
      <c r="N74"/>
      <c r="O74"/>
      <c r="P74"/>
      <c r="Q74"/>
      <c r="R74"/>
      <c r="S74"/>
      <c r="T74"/>
      <c r="U74"/>
      <c r="V74"/>
      <c r="W74"/>
      <c r="X74"/>
      <c r="Y74"/>
    </row>
    <row r="75" spans="1:25" s="3" customFormat="1" x14ac:dyDescent="0.45">
      <c r="A75" s="20"/>
      <c r="B75" s="29"/>
      <c r="C75" s="25"/>
      <c r="M75"/>
      <c r="N75"/>
      <c r="O75"/>
      <c r="P75"/>
      <c r="Q75"/>
      <c r="R75"/>
      <c r="S75"/>
      <c r="T75"/>
      <c r="U75"/>
      <c r="V75"/>
      <c r="W75"/>
      <c r="X75"/>
      <c r="Y75"/>
    </row>
    <row r="76" spans="1:25" s="3" customFormat="1" x14ac:dyDescent="0.45">
      <c r="A76" s="20"/>
      <c r="B76" s="29"/>
      <c r="C76" s="25"/>
      <c r="M76"/>
      <c r="N76"/>
      <c r="O76"/>
      <c r="P76"/>
      <c r="Q76"/>
      <c r="R76"/>
      <c r="S76"/>
      <c r="T76"/>
      <c r="U76"/>
      <c r="V76"/>
      <c r="W76"/>
      <c r="X76"/>
      <c r="Y76"/>
    </row>
    <row r="77" spans="1:25" s="3" customFormat="1" x14ac:dyDescent="0.45">
      <c r="A77" s="20"/>
      <c r="B77" s="29"/>
      <c r="C77" s="25"/>
      <c r="M77"/>
      <c r="N77"/>
      <c r="O77"/>
      <c r="P77"/>
      <c r="Q77"/>
      <c r="R77"/>
      <c r="S77"/>
      <c r="T77"/>
      <c r="U77"/>
      <c r="V77"/>
      <c r="W77"/>
      <c r="X77"/>
      <c r="Y77"/>
    </row>
    <row r="78" spans="1:25" s="3" customFormat="1" x14ac:dyDescent="0.45">
      <c r="A78" s="20"/>
      <c r="B78" s="29"/>
      <c r="C78" s="25"/>
      <c r="M78"/>
      <c r="N78"/>
      <c r="O78"/>
      <c r="P78"/>
      <c r="Q78"/>
      <c r="R78"/>
      <c r="S78"/>
      <c r="T78"/>
      <c r="U78"/>
      <c r="V78"/>
      <c r="W78"/>
      <c r="X78"/>
      <c r="Y78"/>
    </row>
    <row r="79" spans="1:25" s="3" customFormat="1" x14ac:dyDescent="0.45">
      <c r="A79" s="20"/>
      <c r="B79" s="29"/>
      <c r="C79" s="25"/>
      <c r="M79"/>
      <c r="N79"/>
      <c r="O79"/>
      <c r="P79"/>
      <c r="Q79"/>
      <c r="R79"/>
      <c r="S79"/>
      <c r="T79"/>
      <c r="U79"/>
      <c r="V79"/>
      <c r="W79"/>
      <c r="X79"/>
      <c r="Y79"/>
    </row>
    <row r="80" spans="1:25" s="3" customFormat="1" x14ac:dyDescent="0.45">
      <c r="A80" s="20"/>
      <c r="B80" s="29"/>
      <c r="C80" s="25"/>
      <c r="M80"/>
      <c r="N80"/>
      <c r="O80"/>
      <c r="P80"/>
      <c r="Q80"/>
      <c r="R80"/>
      <c r="S80"/>
      <c r="T80"/>
      <c r="U80"/>
      <c r="V80"/>
      <c r="W80"/>
      <c r="X80"/>
      <c r="Y80"/>
    </row>
    <row r="81" spans="1:25" s="3" customFormat="1" x14ac:dyDescent="0.45">
      <c r="A81" s="20"/>
      <c r="B81" s="29"/>
      <c r="C81" s="25"/>
      <c r="M81"/>
      <c r="N81"/>
      <c r="O81"/>
      <c r="P81"/>
      <c r="Q81"/>
      <c r="R81"/>
      <c r="S81"/>
      <c r="T81"/>
      <c r="U81"/>
      <c r="V81"/>
      <c r="W81"/>
      <c r="X81"/>
      <c r="Y81"/>
    </row>
    <row r="82" spans="1:25" s="3" customFormat="1" x14ac:dyDescent="0.45">
      <c r="A82" s="20"/>
      <c r="B82" s="29"/>
      <c r="C82" s="25"/>
      <c r="M82"/>
      <c r="N82"/>
      <c r="O82"/>
      <c r="P82"/>
      <c r="Q82"/>
      <c r="R82"/>
      <c r="S82"/>
      <c r="T82"/>
      <c r="U82"/>
      <c r="V82"/>
      <c r="W82"/>
      <c r="X82"/>
      <c r="Y82"/>
    </row>
    <row r="83" spans="1:25" s="3" customFormat="1" x14ac:dyDescent="0.45">
      <c r="A83" s="21"/>
      <c r="B83" s="29"/>
      <c r="C83" s="25"/>
      <c r="M83"/>
      <c r="N83"/>
      <c r="O83"/>
      <c r="P83"/>
      <c r="Q83"/>
      <c r="R83"/>
      <c r="S83"/>
      <c r="T83"/>
      <c r="U83"/>
      <c r="V83"/>
      <c r="W83"/>
      <c r="X83"/>
      <c r="Y83"/>
    </row>
    <row r="84" spans="1:25" s="3" customFormat="1" x14ac:dyDescent="0.45">
      <c r="A84" s="21"/>
      <c r="B84" s="29"/>
      <c r="C84" s="25"/>
      <c r="M84"/>
      <c r="N84"/>
      <c r="O84"/>
      <c r="P84"/>
      <c r="Q84"/>
      <c r="R84"/>
      <c r="S84"/>
      <c r="T84"/>
      <c r="U84"/>
      <c r="V84"/>
      <c r="W84"/>
      <c r="X84"/>
      <c r="Y84"/>
    </row>
    <row r="85" spans="1:25" s="3" customFormat="1" x14ac:dyDescent="0.45">
      <c r="A85" s="21"/>
      <c r="B85" s="29"/>
      <c r="C85" s="25"/>
      <c r="M85"/>
      <c r="N85"/>
      <c r="O85"/>
      <c r="P85"/>
      <c r="Q85"/>
      <c r="R85"/>
      <c r="S85"/>
      <c r="T85"/>
      <c r="U85"/>
      <c r="V85"/>
      <c r="W85"/>
      <c r="X85"/>
      <c r="Y85"/>
    </row>
    <row r="86" spans="1:25" s="3" customFormat="1" x14ac:dyDescent="0.45">
      <c r="A86" s="21"/>
      <c r="B86" s="29"/>
      <c r="C86" s="25"/>
      <c r="M86"/>
      <c r="N86"/>
      <c r="O86"/>
      <c r="P86"/>
      <c r="Q86"/>
      <c r="R86"/>
      <c r="S86"/>
      <c r="T86"/>
      <c r="U86"/>
      <c r="V86"/>
      <c r="W86"/>
      <c r="X86"/>
      <c r="Y86"/>
    </row>
    <row r="87" spans="1:25" s="3" customFormat="1" x14ac:dyDescent="0.45">
      <c r="A87" s="21"/>
      <c r="B87" s="29"/>
      <c r="C87" s="25"/>
      <c r="M87"/>
      <c r="N87"/>
      <c r="O87"/>
      <c r="P87"/>
      <c r="Q87"/>
      <c r="R87"/>
      <c r="S87"/>
      <c r="T87"/>
      <c r="U87"/>
      <c r="V87"/>
      <c r="W87"/>
      <c r="X87"/>
      <c r="Y87"/>
    </row>
    <row r="88" spans="1:25" s="3" customFormat="1" x14ac:dyDescent="0.45">
      <c r="A88" s="21"/>
      <c r="B88" s="29"/>
      <c r="C88" s="25"/>
      <c r="M88"/>
      <c r="N88"/>
      <c r="O88"/>
      <c r="P88"/>
      <c r="Q88"/>
      <c r="R88"/>
      <c r="S88"/>
      <c r="T88"/>
      <c r="U88"/>
      <c r="V88"/>
      <c r="W88"/>
      <c r="X88"/>
      <c r="Y88"/>
    </row>
    <row r="89" spans="1:25" s="3" customFormat="1" x14ac:dyDescent="0.45">
      <c r="A89" s="21"/>
      <c r="B89" s="29"/>
      <c r="C89" s="25"/>
      <c r="M89"/>
      <c r="N89"/>
      <c r="O89"/>
      <c r="P89"/>
      <c r="Q89"/>
      <c r="R89"/>
      <c r="S89"/>
      <c r="T89"/>
      <c r="U89"/>
      <c r="V89"/>
      <c r="W89"/>
      <c r="X89"/>
      <c r="Y89"/>
    </row>
    <row r="90" spans="1:25" s="3" customFormat="1" x14ac:dyDescent="0.45">
      <c r="A90" s="21"/>
      <c r="B90" s="29"/>
      <c r="C90" s="25"/>
      <c r="M90"/>
      <c r="N90"/>
      <c r="O90"/>
      <c r="P90"/>
      <c r="Q90"/>
      <c r="R90"/>
      <c r="S90"/>
      <c r="T90"/>
      <c r="U90"/>
      <c r="V90"/>
      <c r="W90"/>
      <c r="X90"/>
      <c r="Y90"/>
    </row>
    <row r="91" spans="1:25" s="3" customFormat="1" x14ac:dyDescent="0.45">
      <c r="A91" s="21"/>
      <c r="B91" s="29"/>
      <c r="C91" s="25"/>
      <c r="M91"/>
      <c r="N91"/>
      <c r="O91"/>
      <c r="P91"/>
      <c r="Q91"/>
      <c r="R91"/>
      <c r="S91"/>
      <c r="T91"/>
      <c r="U91"/>
      <c r="V91"/>
      <c r="W91"/>
      <c r="X91"/>
      <c r="Y91"/>
    </row>
    <row r="92" spans="1:25" s="3" customFormat="1" x14ac:dyDescent="0.45">
      <c r="A92" s="21"/>
      <c r="B92" s="29"/>
      <c r="C92" s="25"/>
      <c r="M92"/>
      <c r="N92"/>
      <c r="O92"/>
      <c r="P92"/>
      <c r="Q92"/>
      <c r="R92"/>
      <c r="S92"/>
      <c r="T92"/>
      <c r="U92"/>
      <c r="V92"/>
      <c r="W92"/>
      <c r="X92"/>
      <c r="Y92"/>
    </row>
    <row r="93" spans="1:25" s="3" customFormat="1" x14ac:dyDescent="0.45">
      <c r="A93" s="21"/>
      <c r="B93" s="29"/>
      <c r="C93" s="25"/>
      <c r="M93"/>
      <c r="N93"/>
      <c r="O93"/>
      <c r="P93"/>
      <c r="Q93"/>
      <c r="R93"/>
      <c r="S93"/>
      <c r="T93"/>
      <c r="U93"/>
      <c r="V93"/>
      <c r="W93"/>
      <c r="X93"/>
      <c r="Y93"/>
    </row>
    <row r="94" spans="1:25" s="3" customFormat="1" x14ac:dyDescent="0.45">
      <c r="A94" s="21"/>
      <c r="B94" s="29"/>
      <c r="C94" s="25"/>
      <c r="M94"/>
      <c r="N94"/>
      <c r="O94"/>
      <c r="P94"/>
      <c r="Q94"/>
      <c r="R94"/>
      <c r="S94"/>
      <c r="T94"/>
      <c r="U94"/>
      <c r="V94"/>
      <c r="W94"/>
      <c r="X94"/>
      <c r="Y94"/>
    </row>
    <row r="95" spans="1:25" s="3" customFormat="1" x14ac:dyDescent="0.45">
      <c r="A95" s="21"/>
      <c r="B95" s="29"/>
      <c r="C95" s="25"/>
      <c r="M95"/>
      <c r="N95"/>
      <c r="O95"/>
      <c r="P95"/>
      <c r="Q95"/>
      <c r="R95"/>
      <c r="S95"/>
      <c r="T95"/>
      <c r="U95"/>
      <c r="V95"/>
      <c r="W95"/>
      <c r="X95"/>
      <c r="Y95"/>
    </row>
    <row r="96" spans="1:25" s="3" customFormat="1" x14ac:dyDescent="0.45">
      <c r="A96" s="21"/>
      <c r="B96" s="29"/>
      <c r="C96" s="25"/>
      <c r="M96"/>
      <c r="N96"/>
      <c r="O96"/>
      <c r="P96"/>
      <c r="Q96"/>
      <c r="R96"/>
      <c r="S96"/>
      <c r="T96"/>
      <c r="U96"/>
      <c r="V96"/>
      <c r="W96"/>
      <c r="X96"/>
      <c r="Y96"/>
    </row>
    <row r="97" spans="1:25" s="3" customFormat="1" x14ac:dyDescent="0.45">
      <c r="A97" s="21"/>
      <c r="B97" s="29"/>
      <c r="C97" s="25"/>
      <c r="M97"/>
      <c r="N97"/>
      <c r="O97"/>
      <c r="P97"/>
      <c r="Q97"/>
      <c r="R97"/>
      <c r="S97"/>
      <c r="T97"/>
      <c r="U97"/>
      <c r="V97"/>
      <c r="W97"/>
      <c r="X97"/>
      <c r="Y97"/>
    </row>
    <row r="98" spans="1:25" s="3" customFormat="1" x14ac:dyDescent="0.45">
      <c r="A98" s="21"/>
      <c r="B98" s="29"/>
      <c r="C98" s="25"/>
      <c r="M98"/>
      <c r="N98"/>
      <c r="O98"/>
      <c r="P98"/>
      <c r="Q98"/>
      <c r="R98"/>
      <c r="S98"/>
      <c r="T98"/>
      <c r="U98"/>
      <c r="V98"/>
      <c r="W98"/>
      <c r="X98"/>
      <c r="Y98"/>
    </row>
    <row r="99" spans="1:25" s="3" customFormat="1" x14ac:dyDescent="0.45">
      <c r="A99" s="21"/>
      <c r="B99" s="29"/>
      <c r="C99" s="25"/>
      <c r="M99"/>
      <c r="N99"/>
      <c r="O99"/>
      <c r="P99"/>
      <c r="Q99"/>
      <c r="R99"/>
      <c r="S99"/>
      <c r="T99"/>
      <c r="U99"/>
      <c r="V99"/>
      <c r="W99"/>
      <c r="X99"/>
      <c r="Y99"/>
    </row>
    <row r="100" spans="1:25" s="3" customFormat="1" x14ac:dyDescent="0.45">
      <c r="A100" s="21"/>
      <c r="B100" s="29"/>
      <c r="C100" s="25"/>
      <c r="M100"/>
      <c r="N100"/>
      <c r="O100"/>
      <c r="P100"/>
      <c r="Q100"/>
      <c r="R100"/>
      <c r="S100"/>
      <c r="T100"/>
      <c r="U100"/>
      <c r="V100"/>
      <c r="W100"/>
      <c r="X100"/>
      <c r="Y100"/>
    </row>
    <row r="101" spans="1:25" s="3" customFormat="1" x14ac:dyDescent="0.45">
      <c r="A101" s="21"/>
      <c r="B101" s="29"/>
      <c r="C101" s="25"/>
      <c r="M101"/>
      <c r="N101"/>
      <c r="O101"/>
      <c r="P101"/>
      <c r="Q101"/>
      <c r="R101"/>
      <c r="S101"/>
      <c r="T101"/>
      <c r="U101"/>
      <c r="V101"/>
      <c r="W101"/>
      <c r="X101"/>
      <c r="Y101"/>
    </row>
    <row r="102" spans="1:25" s="3" customFormat="1" x14ac:dyDescent="0.45">
      <c r="A102" s="21"/>
      <c r="B102" s="29"/>
      <c r="C102" s="25"/>
      <c r="M102"/>
      <c r="N102"/>
      <c r="O102"/>
      <c r="P102"/>
      <c r="Q102"/>
      <c r="R102"/>
      <c r="S102"/>
      <c r="T102"/>
      <c r="U102"/>
      <c r="V102"/>
      <c r="W102"/>
      <c r="X102"/>
      <c r="Y102"/>
    </row>
    <row r="103" spans="1:25" s="3" customFormat="1" x14ac:dyDescent="0.45">
      <c r="A103" s="21"/>
      <c r="B103" s="29"/>
      <c r="C103" s="25"/>
      <c r="M103"/>
      <c r="N103"/>
      <c r="O103"/>
      <c r="P103"/>
      <c r="Q103"/>
      <c r="R103"/>
      <c r="S103"/>
      <c r="T103"/>
      <c r="U103"/>
      <c r="V103"/>
      <c r="W103"/>
      <c r="X103"/>
      <c r="Y103"/>
    </row>
    <row r="104" spans="1:25" s="3" customFormat="1" x14ac:dyDescent="0.45">
      <c r="A104" s="21"/>
      <c r="B104" s="29"/>
      <c r="C104" s="25"/>
      <c r="M104"/>
      <c r="N104"/>
      <c r="O104"/>
      <c r="P104"/>
      <c r="Q104"/>
      <c r="R104"/>
      <c r="S104"/>
      <c r="T104"/>
      <c r="U104"/>
      <c r="V104"/>
      <c r="W104"/>
      <c r="X104"/>
      <c r="Y104"/>
    </row>
    <row r="105" spans="1:25" s="3" customFormat="1" x14ac:dyDescent="0.45">
      <c r="A105" s="21"/>
      <c r="B105" s="29"/>
      <c r="C105" s="25"/>
      <c r="M105"/>
      <c r="N105"/>
      <c r="O105"/>
      <c r="P105"/>
      <c r="Q105"/>
      <c r="R105"/>
      <c r="S105"/>
      <c r="T105"/>
      <c r="U105"/>
      <c r="V105"/>
      <c r="W105"/>
      <c r="X105"/>
      <c r="Y105"/>
    </row>
    <row r="106" spans="1:25" s="3" customFormat="1" x14ac:dyDescent="0.45">
      <c r="A106" s="21"/>
      <c r="B106" s="29"/>
      <c r="C106" s="25"/>
      <c r="M106"/>
      <c r="N106"/>
      <c r="O106"/>
      <c r="P106"/>
      <c r="Q106"/>
      <c r="R106"/>
      <c r="S106"/>
      <c r="T106"/>
      <c r="U106"/>
      <c r="V106"/>
      <c r="W106"/>
      <c r="X106"/>
      <c r="Y106"/>
    </row>
    <row r="107" spans="1:25" s="3" customFormat="1" x14ac:dyDescent="0.45">
      <c r="A107" s="21"/>
      <c r="B107" s="29"/>
      <c r="C107" s="25"/>
      <c r="M107"/>
      <c r="N107"/>
      <c r="O107"/>
      <c r="P107"/>
      <c r="Q107"/>
      <c r="R107"/>
      <c r="S107"/>
      <c r="T107"/>
      <c r="U107"/>
      <c r="V107"/>
      <c r="W107"/>
      <c r="X107"/>
      <c r="Y107"/>
    </row>
    <row r="108" spans="1:25" s="3" customFormat="1" x14ac:dyDescent="0.45">
      <c r="A108" s="21"/>
      <c r="B108" s="29"/>
      <c r="C108" s="25"/>
      <c r="M108"/>
      <c r="N108"/>
      <c r="O108"/>
      <c r="P108"/>
      <c r="Q108"/>
      <c r="R108"/>
      <c r="S108"/>
      <c r="T108"/>
      <c r="U108"/>
      <c r="V108"/>
      <c r="W108"/>
      <c r="X108"/>
      <c r="Y108"/>
    </row>
    <row r="109" spans="1:25" s="3" customFormat="1" x14ac:dyDescent="0.45">
      <c r="A109" s="21"/>
      <c r="B109" s="29"/>
      <c r="C109" s="25"/>
      <c r="M109"/>
      <c r="N109"/>
      <c r="O109"/>
      <c r="P109"/>
      <c r="Q109"/>
      <c r="R109"/>
      <c r="S109"/>
      <c r="T109"/>
      <c r="U109"/>
      <c r="V109"/>
      <c r="W109"/>
      <c r="X109"/>
      <c r="Y109"/>
    </row>
    <row r="110" spans="1:25" s="3" customFormat="1" x14ac:dyDescent="0.45">
      <c r="A110" s="21"/>
      <c r="B110" s="29"/>
      <c r="C110" s="25"/>
      <c r="M110"/>
      <c r="N110"/>
      <c r="O110"/>
      <c r="P110"/>
      <c r="Q110"/>
      <c r="R110"/>
      <c r="S110"/>
      <c r="T110"/>
      <c r="U110"/>
      <c r="V110"/>
      <c r="W110"/>
      <c r="X110"/>
      <c r="Y110"/>
    </row>
    <row r="111" spans="1:25" s="3" customFormat="1" x14ac:dyDescent="0.45">
      <c r="A111" s="21"/>
      <c r="B111" s="29"/>
      <c r="C111" s="25"/>
      <c r="M111"/>
      <c r="N111"/>
      <c r="O111"/>
      <c r="P111"/>
      <c r="Q111"/>
      <c r="R111"/>
      <c r="S111"/>
      <c r="T111"/>
      <c r="U111"/>
      <c r="V111"/>
      <c r="W111"/>
      <c r="X111"/>
      <c r="Y111"/>
    </row>
    <row r="112" spans="1:25" s="3" customFormat="1" x14ac:dyDescent="0.45">
      <c r="A112" s="21"/>
      <c r="B112" s="29"/>
      <c r="C112" s="25"/>
      <c r="M112"/>
      <c r="N112"/>
      <c r="O112"/>
      <c r="P112"/>
      <c r="Q112"/>
      <c r="R112"/>
      <c r="S112"/>
      <c r="T112"/>
      <c r="U112"/>
      <c r="V112"/>
      <c r="W112"/>
      <c r="X112"/>
      <c r="Y112"/>
    </row>
    <row r="113" spans="1:25" s="3" customFormat="1" x14ac:dyDescent="0.45">
      <c r="A113" s="21"/>
      <c r="B113" s="29"/>
      <c r="C113" s="25"/>
      <c r="M113"/>
      <c r="N113"/>
      <c r="O113"/>
      <c r="P113"/>
      <c r="Q113"/>
      <c r="R113"/>
      <c r="S113"/>
      <c r="T113"/>
      <c r="U113"/>
      <c r="V113"/>
      <c r="W113"/>
      <c r="X113"/>
      <c r="Y113"/>
    </row>
    <row r="114" spans="1:25" s="3" customFormat="1" x14ac:dyDescent="0.45">
      <c r="A114" s="21"/>
      <c r="B114" s="29"/>
      <c r="C114" s="25"/>
      <c r="M114"/>
      <c r="N114"/>
      <c r="O114"/>
      <c r="P114"/>
      <c r="Q114"/>
      <c r="R114"/>
      <c r="S114"/>
      <c r="T114"/>
      <c r="U114"/>
      <c r="V114"/>
      <c r="W114"/>
      <c r="X114"/>
      <c r="Y114"/>
    </row>
    <row r="115" spans="1:25" s="3" customFormat="1" x14ac:dyDescent="0.45">
      <c r="A115" s="21"/>
      <c r="B115" s="29"/>
      <c r="C115" s="25"/>
      <c r="M115"/>
      <c r="N115"/>
      <c r="O115"/>
      <c r="P115"/>
      <c r="Q115"/>
      <c r="R115"/>
      <c r="S115"/>
      <c r="T115"/>
      <c r="U115"/>
      <c r="V115"/>
      <c r="W115"/>
      <c r="X115"/>
      <c r="Y115"/>
    </row>
    <row r="116" spans="1:25" s="3" customFormat="1" x14ac:dyDescent="0.45">
      <c r="A116" s="21"/>
      <c r="B116" s="29"/>
      <c r="C116" s="25"/>
      <c r="M116"/>
      <c r="N116"/>
      <c r="O116"/>
      <c r="P116"/>
      <c r="Q116"/>
      <c r="R116"/>
      <c r="S116"/>
      <c r="T116"/>
      <c r="U116"/>
      <c r="V116"/>
      <c r="W116"/>
      <c r="X116"/>
      <c r="Y116"/>
    </row>
    <row r="117" spans="1:25" s="3" customFormat="1" x14ac:dyDescent="0.45">
      <c r="A117" s="21"/>
      <c r="B117" s="29"/>
      <c r="C117" s="25"/>
      <c r="M117"/>
      <c r="N117"/>
      <c r="O117"/>
      <c r="P117"/>
      <c r="Q117"/>
      <c r="R117"/>
      <c r="S117"/>
      <c r="T117"/>
      <c r="U117"/>
      <c r="V117"/>
      <c r="W117"/>
      <c r="X117"/>
      <c r="Y117"/>
    </row>
    <row r="118" spans="1:25" s="3" customFormat="1" x14ac:dyDescent="0.45">
      <c r="A118" s="21"/>
      <c r="B118" s="29"/>
      <c r="C118" s="25"/>
      <c r="M118"/>
      <c r="N118"/>
      <c r="O118"/>
      <c r="P118"/>
      <c r="Q118"/>
      <c r="R118"/>
      <c r="S118"/>
      <c r="T118"/>
      <c r="U118"/>
      <c r="V118"/>
      <c r="W118"/>
      <c r="X118"/>
      <c r="Y118"/>
    </row>
    <row r="119" spans="1:25" s="3" customFormat="1" x14ac:dyDescent="0.45">
      <c r="A119" s="21"/>
      <c r="B119" s="29"/>
      <c r="C119" s="25"/>
      <c r="M119"/>
      <c r="N119"/>
      <c r="O119"/>
      <c r="P119"/>
      <c r="Q119"/>
      <c r="R119"/>
      <c r="S119"/>
      <c r="T119"/>
      <c r="U119"/>
      <c r="V119"/>
      <c r="W119"/>
      <c r="X119"/>
      <c r="Y119"/>
    </row>
    <row r="120" spans="1:25" s="3" customFormat="1" x14ac:dyDescent="0.45">
      <c r="A120" s="21"/>
      <c r="B120" s="29"/>
      <c r="C120" s="25"/>
      <c r="M120"/>
      <c r="N120"/>
      <c r="O120"/>
      <c r="P120"/>
      <c r="Q120"/>
      <c r="R120"/>
      <c r="S120"/>
      <c r="T120"/>
      <c r="U120"/>
      <c r="V120"/>
      <c r="W120"/>
      <c r="X120"/>
      <c r="Y120"/>
    </row>
    <row r="121" spans="1:25" s="3" customFormat="1" x14ac:dyDescent="0.45">
      <c r="A121" s="21"/>
      <c r="B121" s="29"/>
      <c r="C121" s="25"/>
      <c r="M121"/>
      <c r="N121"/>
      <c r="O121"/>
      <c r="P121"/>
      <c r="Q121"/>
      <c r="R121"/>
      <c r="S121"/>
      <c r="T121"/>
      <c r="U121"/>
      <c r="V121"/>
      <c r="W121"/>
      <c r="X121"/>
      <c r="Y121"/>
    </row>
    <row r="122" spans="1:25" s="3" customFormat="1" x14ac:dyDescent="0.45">
      <c r="A122" s="21"/>
      <c r="B122" s="29"/>
      <c r="C122" s="25"/>
      <c r="M122"/>
      <c r="N122"/>
      <c r="O122"/>
      <c r="P122"/>
      <c r="Q122"/>
      <c r="R122"/>
      <c r="S122"/>
      <c r="T122"/>
      <c r="U122"/>
      <c r="V122"/>
      <c r="W122"/>
      <c r="X122"/>
      <c r="Y122"/>
    </row>
    <row r="123" spans="1:25" s="3" customFormat="1" x14ac:dyDescent="0.45">
      <c r="A123" s="21"/>
      <c r="B123" s="29"/>
      <c r="C123" s="25"/>
      <c r="M123"/>
      <c r="N123"/>
      <c r="O123"/>
      <c r="P123"/>
      <c r="Q123"/>
      <c r="R123"/>
      <c r="S123"/>
      <c r="T123"/>
      <c r="U123"/>
      <c r="V123"/>
      <c r="W123"/>
      <c r="X123"/>
      <c r="Y123"/>
    </row>
    <row r="124" spans="1:25" s="3" customFormat="1" x14ac:dyDescent="0.45">
      <c r="A124" s="21"/>
      <c r="B124" s="29"/>
      <c r="C124" s="25"/>
      <c r="M124"/>
      <c r="N124"/>
      <c r="O124"/>
      <c r="P124"/>
      <c r="Q124"/>
      <c r="R124"/>
      <c r="S124"/>
      <c r="T124"/>
      <c r="U124"/>
      <c r="V124"/>
      <c r="W124"/>
      <c r="X124"/>
      <c r="Y124"/>
    </row>
    <row r="125" spans="1:25" s="3" customFormat="1" x14ac:dyDescent="0.45">
      <c r="A125" s="21"/>
      <c r="B125" s="29"/>
      <c r="C125" s="25"/>
      <c r="M125"/>
      <c r="N125"/>
      <c r="O125"/>
      <c r="P125"/>
      <c r="Q125"/>
      <c r="R125"/>
      <c r="S125"/>
      <c r="T125"/>
      <c r="U125"/>
      <c r="V125"/>
      <c r="W125"/>
      <c r="X125"/>
      <c r="Y125"/>
    </row>
    <row r="126" spans="1:25" s="3" customFormat="1" x14ac:dyDescent="0.45">
      <c r="A126" s="21"/>
      <c r="B126" s="29"/>
      <c r="C126" s="25"/>
      <c r="M126"/>
      <c r="N126"/>
      <c r="O126"/>
      <c r="P126"/>
      <c r="Q126"/>
      <c r="R126"/>
      <c r="S126"/>
      <c r="T126"/>
      <c r="U126"/>
      <c r="V126"/>
      <c r="W126"/>
      <c r="X126"/>
      <c r="Y126"/>
    </row>
    <row r="127" spans="1:25" s="3" customFormat="1" x14ac:dyDescent="0.45">
      <c r="A127" s="21"/>
      <c r="B127" s="29"/>
      <c r="C127" s="25"/>
      <c r="M127"/>
      <c r="N127"/>
      <c r="O127"/>
      <c r="P127"/>
      <c r="Q127"/>
      <c r="R127"/>
      <c r="S127"/>
      <c r="T127"/>
      <c r="U127"/>
      <c r="V127"/>
      <c r="W127"/>
      <c r="X127"/>
      <c r="Y127"/>
    </row>
    <row r="128" spans="1:25" s="3" customFormat="1" x14ac:dyDescent="0.45">
      <c r="A128" s="21"/>
      <c r="B128" s="29"/>
      <c r="C128" s="25"/>
      <c r="M128"/>
      <c r="N128"/>
      <c r="O128"/>
      <c r="P128"/>
      <c r="Q128"/>
      <c r="R128"/>
      <c r="S128"/>
      <c r="T128"/>
      <c r="U128"/>
      <c r="V128"/>
      <c r="W128"/>
      <c r="X128"/>
      <c r="Y128"/>
    </row>
    <row r="129" spans="1:25" s="3" customFormat="1" x14ac:dyDescent="0.45">
      <c r="A129" s="21"/>
      <c r="B129" s="29"/>
      <c r="C129" s="25"/>
      <c r="M129"/>
      <c r="N129"/>
      <c r="O129"/>
      <c r="P129"/>
      <c r="Q129"/>
      <c r="R129"/>
      <c r="S129"/>
      <c r="T129"/>
      <c r="U129"/>
      <c r="V129"/>
      <c r="W129"/>
      <c r="X129"/>
      <c r="Y129"/>
    </row>
    <row r="130" spans="1:25" s="3" customFormat="1" x14ac:dyDescent="0.45">
      <c r="A130" s="21"/>
      <c r="B130" s="29"/>
      <c r="C130" s="25"/>
      <c r="M130"/>
      <c r="N130"/>
      <c r="O130"/>
      <c r="P130"/>
      <c r="Q130"/>
      <c r="R130"/>
      <c r="S130"/>
      <c r="T130"/>
      <c r="U130"/>
      <c r="V130"/>
      <c r="W130"/>
      <c r="X130"/>
      <c r="Y130"/>
    </row>
    <row r="131" spans="1:25" s="3" customFormat="1" x14ac:dyDescent="0.45">
      <c r="A131" s="21"/>
      <c r="B131" s="29"/>
      <c r="C131" s="25"/>
      <c r="M131"/>
      <c r="N131"/>
      <c r="O131"/>
      <c r="P131"/>
      <c r="Q131"/>
      <c r="R131"/>
      <c r="S131"/>
      <c r="T131"/>
      <c r="U131"/>
      <c r="V131"/>
      <c r="W131"/>
      <c r="X131"/>
      <c r="Y131"/>
    </row>
    <row r="132" spans="1:25" s="3" customFormat="1" x14ac:dyDescent="0.45">
      <c r="A132" s="21"/>
      <c r="B132" s="29"/>
      <c r="C132" s="25"/>
      <c r="M132"/>
      <c r="N132"/>
      <c r="O132"/>
      <c r="P132"/>
      <c r="Q132"/>
      <c r="R132"/>
      <c r="S132"/>
      <c r="T132"/>
      <c r="U132"/>
      <c r="V132"/>
      <c r="W132"/>
      <c r="X132"/>
      <c r="Y132"/>
    </row>
    <row r="133" spans="1:25" s="3" customFormat="1" x14ac:dyDescent="0.45">
      <c r="A133" s="21"/>
      <c r="B133" s="29"/>
      <c r="C133" s="25"/>
      <c r="M133"/>
      <c r="N133"/>
      <c r="O133"/>
      <c r="P133"/>
      <c r="Q133"/>
      <c r="R133"/>
      <c r="S133"/>
      <c r="T133"/>
      <c r="U133"/>
      <c r="V133"/>
      <c r="W133"/>
      <c r="X133"/>
      <c r="Y133"/>
    </row>
    <row r="134" spans="1:25" s="3" customFormat="1" x14ac:dyDescent="0.45">
      <c r="A134" s="21"/>
      <c r="B134" s="29"/>
      <c r="C134" s="25"/>
      <c r="M134"/>
      <c r="N134"/>
      <c r="O134"/>
      <c r="P134"/>
      <c r="Q134"/>
      <c r="R134"/>
      <c r="S134"/>
      <c r="T134"/>
      <c r="U134"/>
      <c r="V134"/>
      <c r="W134"/>
      <c r="X134"/>
      <c r="Y134"/>
    </row>
    <row r="135" spans="1:25" s="3" customFormat="1" x14ac:dyDescent="0.45">
      <c r="A135" s="21"/>
      <c r="B135" s="29"/>
      <c r="C135" s="25"/>
      <c r="M135"/>
      <c r="N135"/>
      <c r="O135"/>
      <c r="P135"/>
      <c r="Q135"/>
      <c r="R135"/>
      <c r="S135"/>
      <c r="T135"/>
      <c r="U135"/>
      <c r="V135"/>
      <c r="W135"/>
      <c r="X135"/>
      <c r="Y135"/>
    </row>
    <row r="136" spans="1:25" s="3" customFormat="1" x14ac:dyDescent="0.45">
      <c r="A136" s="21"/>
      <c r="B136" s="29"/>
      <c r="C136" s="25"/>
      <c r="M136"/>
      <c r="N136"/>
      <c r="O136"/>
      <c r="P136"/>
      <c r="Q136"/>
      <c r="R136"/>
      <c r="S136"/>
      <c r="T136"/>
      <c r="U136"/>
      <c r="V136"/>
      <c r="W136"/>
      <c r="X136"/>
      <c r="Y136"/>
    </row>
    <row r="137" spans="1:25" s="3" customFormat="1" x14ac:dyDescent="0.45">
      <c r="A137" s="21"/>
      <c r="B137" s="29"/>
      <c r="C137" s="25"/>
      <c r="M137"/>
      <c r="N137"/>
      <c r="O137"/>
      <c r="P137"/>
      <c r="Q137"/>
      <c r="R137"/>
      <c r="S137"/>
      <c r="T137"/>
      <c r="U137"/>
      <c r="V137"/>
      <c r="W137"/>
      <c r="X137"/>
      <c r="Y137"/>
    </row>
    <row r="138" spans="1:25" s="3" customFormat="1" x14ac:dyDescent="0.45">
      <c r="A138" s="21"/>
      <c r="B138" s="29"/>
      <c r="C138" s="25"/>
      <c r="M138"/>
      <c r="N138"/>
      <c r="O138"/>
      <c r="P138"/>
      <c r="Q138"/>
      <c r="R138"/>
      <c r="S138"/>
      <c r="T138"/>
      <c r="U138"/>
      <c r="V138"/>
      <c r="W138"/>
      <c r="X138"/>
      <c r="Y138"/>
    </row>
    <row r="139" spans="1:25" s="3" customFormat="1" x14ac:dyDescent="0.45">
      <c r="A139" s="21"/>
      <c r="B139" s="29"/>
      <c r="C139" s="25"/>
      <c r="M139"/>
      <c r="N139"/>
      <c r="O139"/>
      <c r="P139"/>
      <c r="Q139"/>
      <c r="R139"/>
      <c r="S139"/>
      <c r="T139"/>
      <c r="U139"/>
      <c r="V139"/>
      <c r="W139"/>
      <c r="X139"/>
      <c r="Y139"/>
    </row>
    <row r="140" spans="1:25" s="3" customFormat="1" x14ac:dyDescent="0.45">
      <c r="A140" s="21"/>
      <c r="B140" s="29"/>
      <c r="C140" s="25"/>
      <c r="M140"/>
      <c r="N140"/>
      <c r="O140"/>
      <c r="P140"/>
      <c r="Q140"/>
      <c r="R140"/>
      <c r="S140"/>
      <c r="T140"/>
      <c r="U140"/>
      <c r="V140"/>
      <c r="W140"/>
      <c r="X140"/>
      <c r="Y140"/>
    </row>
    <row r="141" spans="1:25" s="3" customFormat="1" x14ac:dyDescent="0.45">
      <c r="A141" s="21"/>
      <c r="B141" s="29"/>
      <c r="C141" s="25"/>
      <c r="M141"/>
      <c r="N141"/>
      <c r="O141"/>
      <c r="P141"/>
      <c r="Q141"/>
      <c r="R141"/>
      <c r="S141"/>
      <c r="T141"/>
      <c r="U141"/>
      <c r="V141"/>
      <c r="W141"/>
      <c r="X141"/>
      <c r="Y141"/>
    </row>
    <row r="142" spans="1:25" s="3" customFormat="1" x14ac:dyDescent="0.45">
      <c r="A142" s="21"/>
      <c r="B142" s="29"/>
      <c r="C142" s="25"/>
      <c r="M142"/>
      <c r="N142"/>
      <c r="O142"/>
      <c r="P142"/>
      <c r="Q142"/>
      <c r="R142"/>
      <c r="S142"/>
      <c r="T142"/>
      <c r="U142"/>
      <c r="V142"/>
      <c r="W142"/>
      <c r="X142"/>
      <c r="Y142"/>
    </row>
    <row r="143" spans="1:25" s="3" customFormat="1" x14ac:dyDescent="0.45">
      <c r="A143" s="21"/>
      <c r="B143" s="29"/>
      <c r="C143" s="25"/>
      <c r="M143"/>
      <c r="N143"/>
      <c r="O143"/>
      <c r="P143"/>
      <c r="Q143"/>
      <c r="R143"/>
      <c r="S143"/>
      <c r="T143"/>
      <c r="U143"/>
      <c r="V143"/>
      <c r="W143"/>
      <c r="X143"/>
      <c r="Y143"/>
    </row>
    <row r="144" spans="1:25" s="3" customFormat="1" x14ac:dyDescent="0.45">
      <c r="A144" s="21"/>
      <c r="B144" s="29"/>
      <c r="C144" s="25"/>
      <c r="M144"/>
      <c r="N144"/>
      <c r="O144"/>
      <c r="P144"/>
      <c r="Q144"/>
      <c r="R144"/>
      <c r="S144"/>
      <c r="T144"/>
      <c r="U144"/>
      <c r="V144"/>
      <c r="W144"/>
      <c r="X144"/>
      <c r="Y144"/>
    </row>
    <row r="145" spans="1:25" s="3" customFormat="1" x14ac:dyDescent="0.45">
      <c r="A145" s="21"/>
      <c r="B145" s="29"/>
      <c r="C145" s="25"/>
      <c r="M145"/>
      <c r="N145"/>
      <c r="O145"/>
      <c r="P145"/>
      <c r="Q145"/>
      <c r="R145"/>
      <c r="S145"/>
      <c r="T145"/>
      <c r="U145"/>
      <c r="V145"/>
      <c r="W145"/>
      <c r="X145"/>
      <c r="Y145"/>
    </row>
    <row r="146" spans="1:25" s="3" customFormat="1" x14ac:dyDescent="0.45">
      <c r="A146" s="21"/>
      <c r="B146" s="29"/>
      <c r="C146" s="25"/>
      <c r="M146"/>
      <c r="N146"/>
      <c r="O146"/>
      <c r="P146"/>
      <c r="Q146"/>
      <c r="R146"/>
      <c r="S146"/>
      <c r="T146"/>
      <c r="U146"/>
      <c r="V146"/>
      <c r="W146"/>
      <c r="X146"/>
      <c r="Y146"/>
    </row>
    <row r="147" spans="1:25" s="3" customFormat="1" x14ac:dyDescent="0.45">
      <c r="A147" s="21"/>
      <c r="B147" s="29"/>
      <c r="C147" s="25"/>
      <c r="M147"/>
      <c r="N147"/>
      <c r="O147"/>
      <c r="P147"/>
      <c r="Q147"/>
      <c r="R147"/>
      <c r="S147"/>
      <c r="T147"/>
      <c r="U147"/>
      <c r="V147"/>
      <c r="W147"/>
      <c r="X147"/>
      <c r="Y147"/>
    </row>
    <row r="148" spans="1:25" s="3" customFormat="1" x14ac:dyDescent="0.45">
      <c r="A148" s="21"/>
      <c r="B148" s="29"/>
      <c r="C148" s="25"/>
      <c r="M148"/>
      <c r="N148"/>
      <c r="O148"/>
      <c r="P148"/>
      <c r="Q148"/>
      <c r="R148"/>
      <c r="S148"/>
      <c r="T148"/>
      <c r="U148"/>
      <c r="V148"/>
      <c r="W148"/>
      <c r="X148"/>
      <c r="Y148"/>
    </row>
    <row r="149" spans="1:25" s="3" customFormat="1" x14ac:dyDescent="0.45">
      <c r="A149" s="21"/>
      <c r="B149" s="29"/>
      <c r="C149" s="25"/>
      <c r="M149"/>
      <c r="N149"/>
      <c r="O149"/>
      <c r="P149"/>
      <c r="Q149"/>
      <c r="R149"/>
      <c r="S149"/>
      <c r="T149"/>
      <c r="U149"/>
      <c r="V149"/>
      <c r="W149"/>
      <c r="X149"/>
      <c r="Y149"/>
    </row>
    <row r="150" spans="1:25" s="3" customFormat="1" x14ac:dyDescent="0.45">
      <c r="A150" s="21"/>
      <c r="B150" s="29"/>
      <c r="C150" s="25"/>
      <c r="M150"/>
      <c r="N150"/>
      <c r="O150"/>
      <c r="P150"/>
      <c r="Q150"/>
      <c r="R150"/>
      <c r="S150"/>
      <c r="T150"/>
      <c r="U150"/>
      <c r="V150"/>
      <c r="W150"/>
      <c r="X150"/>
      <c r="Y150"/>
    </row>
    <row r="151" spans="1:25" s="3" customFormat="1" x14ac:dyDescent="0.45">
      <c r="A151" s="21"/>
      <c r="B151" s="29"/>
      <c r="C151" s="25"/>
      <c r="M151"/>
      <c r="N151"/>
      <c r="O151"/>
      <c r="P151"/>
      <c r="Q151"/>
      <c r="R151"/>
      <c r="S151"/>
      <c r="T151"/>
      <c r="U151"/>
      <c r="V151"/>
      <c r="W151"/>
      <c r="X151"/>
      <c r="Y151"/>
    </row>
    <row r="152" spans="1:25" s="3" customFormat="1" x14ac:dyDescent="0.45">
      <c r="A152" s="21"/>
      <c r="B152" s="29"/>
      <c r="C152" s="25"/>
      <c r="M152"/>
      <c r="N152"/>
      <c r="O152"/>
      <c r="P152"/>
      <c r="Q152"/>
      <c r="R152"/>
      <c r="S152"/>
      <c r="T152"/>
      <c r="U152"/>
      <c r="V152"/>
      <c r="W152"/>
      <c r="X152"/>
      <c r="Y152"/>
    </row>
    <row r="153" spans="1:25" s="3" customFormat="1" x14ac:dyDescent="0.45">
      <c r="A153" s="21"/>
      <c r="B153" s="29"/>
      <c r="C153" s="25"/>
      <c r="M153"/>
      <c r="N153"/>
      <c r="O153"/>
      <c r="P153"/>
      <c r="Q153"/>
      <c r="R153"/>
      <c r="S153"/>
      <c r="T153"/>
      <c r="U153"/>
      <c r="V153"/>
      <c r="W153"/>
      <c r="X153"/>
      <c r="Y153"/>
    </row>
    <row r="154" spans="1:25" s="3" customFormat="1" x14ac:dyDescent="0.45">
      <c r="A154" s="21"/>
      <c r="B154" s="29"/>
      <c r="C154" s="25"/>
      <c r="M154"/>
      <c r="N154"/>
      <c r="O154"/>
      <c r="P154"/>
      <c r="Q154"/>
      <c r="R154"/>
      <c r="S154"/>
      <c r="T154"/>
      <c r="U154"/>
      <c r="V154"/>
      <c r="W154"/>
      <c r="X154"/>
      <c r="Y154"/>
    </row>
    <row r="155" spans="1:25" s="3" customFormat="1" x14ac:dyDescent="0.45">
      <c r="A155" s="21"/>
      <c r="B155" s="29"/>
      <c r="C155" s="25"/>
      <c r="M155"/>
      <c r="N155"/>
      <c r="O155"/>
      <c r="P155"/>
      <c r="Q155"/>
      <c r="R155"/>
      <c r="S155"/>
      <c r="T155"/>
      <c r="U155"/>
      <c r="V155"/>
      <c r="W155"/>
      <c r="X155"/>
      <c r="Y155"/>
    </row>
    <row r="156" spans="1:25" s="3" customFormat="1" x14ac:dyDescent="0.45">
      <c r="A156" s="21"/>
      <c r="B156" s="29"/>
      <c r="C156" s="25"/>
      <c r="M156"/>
      <c r="N156"/>
      <c r="O156"/>
      <c r="P156"/>
      <c r="Q156"/>
      <c r="R156"/>
      <c r="S156"/>
      <c r="T156"/>
      <c r="U156"/>
      <c r="V156"/>
      <c r="W156"/>
      <c r="X156"/>
      <c r="Y156"/>
    </row>
    <row r="157" spans="1:25" s="3" customFormat="1" x14ac:dyDescent="0.45">
      <c r="A157" s="21"/>
      <c r="B157" s="29"/>
      <c r="C157" s="25"/>
      <c r="M157"/>
      <c r="N157"/>
      <c r="O157"/>
      <c r="P157"/>
      <c r="Q157"/>
      <c r="R157"/>
      <c r="S157"/>
      <c r="T157"/>
      <c r="U157"/>
      <c r="V157"/>
      <c r="W157"/>
      <c r="X157"/>
      <c r="Y157"/>
    </row>
    <row r="158" spans="1:25" s="3" customFormat="1" x14ac:dyDescent="0.45">
      <c r="A158" s="21"/>
      <c r="B158" s="29"/>
      <c r="C158" s="25"/>
      <c r="M158"/>
      <c r="N158"/>
      <c r="O158"/>
      <c r="P158"/>
      <c r="Q158"/>
      <c r="R158"/>
      <c r="S158"/>
      <c r="T158"/>
      <c r="U158"/>
      <c r="V158"/>
      <c r="W158"/>
      <c r="X158"/>
      <c r="Y158"/>
    </row>
    <row r="159" spans="1:25" s="3" customFormat="1" x14ac:dyDescent="0.45">
      <c r="A159" s="21"/>
      <c r="B159" s="29"/>
      <c r="C159" s="25"/>
      <c r="M159"/>
      <c r="N159"/>
      <c r="O159"/>
      <c r="P159"/>
      <c r="Q159"/>
      <c r="R159"/>
      <c r="S159"/>
      <c r="T159"/>
      <c r="U159"/>
      <c r="V159"/>
      <c r="W159"/>
      <c r="X159"/>
      <c r="Y159"/>
    </row>
    <row r="160" spans="1:25" s="3" customFormat="1" x14ac:dyDescent="0.45">
      <c r="A160" s="21"/>
      <c r="B160" s="29"/>
      <c r="C160" s="25"/>
      <c r="M160"/>
      <c r="N160"/>
      <c r="O160"/>
      <c r="P160"/>
      <c r="Q160"/>
      <c r="R160"/>
      <c r="S160"/>
      <c r="T160"/>
      <c r="U160"/>
      <c r="V160"/>
      <c r="W160"/>
      <c r="X160"/>
      <c r="Y160"/>
    </row>
    <row r="161" spans="1:25" s="3" customFormat="1" x14ac:dyDescent="0.45">
      <c r="A161" s="21"/>
      <c r="B161" s="29"/>
      <c r="C161" s="25"/>
      <c r="M161"/>
      <c r="N161"/>
      <c r="O161"/>
      <c r="P161"/>
      <c r="Q161"/>
      <c r="R161"/>
      <c r="S161"/>
      <c r="T161"/>
      <c r="U161"/>
      <c r="V161"/>
      <c r="W161"/>
      <c r="X161"/>
      <c r="Y161"/>
    </row>
    <row r="162" spans="1:25" s="3" customFormat="1" x14ac:dyDescent="0.45">
      <c r="A162" s="21"/>
      <c r="B162" s="29"/>
      <c r="C162" s="25"/>
      <c r="M162"/>
      <c r="N162"/>
      <c r="O162"/>
      <c r="P162"/>
      <c r="Q162"/>
      <c r="R162"/>
      <c r="S162"/>
      <c r="T162"/>
      <c r="U162"/>
      <c r="V162"/>
      <c r="W162"/>
      <c r="X162"/>
      <c r="Y162"/>
    </row>
    <row r="163" spans="1:25" s="3" customFormat="1" x14ac:dyDescent="0.45">
      <c r="A163" s="21"/>
      <c r="B163" s="29"/>
      <c r="C163" s="25"/>
      <c r="M163"/>
      <c r="N163"/>
      <c r="O163"/>
      <c r="P163"/>
      <c r="Q163"/>
      <c r="R163"/>
      <c r="S163"/>
      <c r="T163"/>
      <c r="U163"/>
      <c r="V163"/>
      <c r="W163"/>
      <c r="X163"/>
      <c r="Y163"/>
    </row>
    <row r="164" spans="1:25" s="3" customFormat="1" x14ac:dyDescent="0.45">
      <c r="A164" s="21"/>
      <c r="B164" s="29"/>
      <c r="C164" s="25"/>
      <c r="M164"/>
      <c r="N164"/>
      <c r="O164"/>
      <c r="P164"/>
      <c r="Q164"/>
      <c r="R164"/>
      <c r="S164"/>
      <c r="T164"/>
      <c r="U164"/>
      <c r="V164"/>
      <c r="W164"/>
      <c r="X164"/>
      <c r="Y164"/>
    </row>
    <row r="165" spans="1:25" s="3" customFormat="1" x14ac:dyDescent="0.45">
      <c r="A165" s="21"/>
      <c r="B165" s="29"/>
      <c r="C165" s="25"/>
      <c r="M165"/>
      <c r="N165"/>
      <c r="O165"/>
      <c r="P165"/>
      <c r="Q165"/>
      <c r="R165"/>
      <c r="S165"/>
      <c r="T165"/>
      <c r="U165"/>
      <c r="V165"/>
      <c r="W165"/>
      <c r="X165"/>
      <c r="Y165"/>
    </row>
    <row r="166" spans="1:25" s="3" customFormat="1" x14ac:dyDescent="0.45">
      <c r="A166" s="21"/>
      <c r="B166" s="29"/>
      <c r="C166" s="25"/>
      <c r="M166"/>
      <c r="N166"/>
      <c r="O166"/>
      <c r="P166"/>
      <c r="Q166"/>
      <c r="R166"/>
      <c r="S166"/>
      <c r="T166"/>
      <c r="U166"/>
      <c r="V166"/>
      <c r="W166"/>
      <c r="X166"/>
      <c r="Y166"/>
    </row>
    <row r="167" spans="1:25" s="3" customFormat="1" x14ac:dyDescent="0.45">
      <c r="A167" s="21"/>
      <c r="B167" s="29"/>
      <c r="C167" s="25"/>
      <c r="M167"/>
      <c r="N167"/>
      <c r="O167"/>
      <c r="P167"/>
      <c r="Q167"/>
      <c r="R167"/>
      <c r="S167"/>
      <c r="T167"/>
      <c r="U167"/>
      <c r="V167"/>
      <c r="W167"/>
      <c r="X167"/>
      <c r="Y167"/>
    </row>
    <row r="168" spans="1:25" s="3" customFormat="1" x14ac:dyDescent="0.45">
      <c r="A168" s="21"/>
      <c r="B168" s="29"/>
      <c r="C168" s="25"/>
      <c r="M168"/>
      <c r="N168"/>
      <c r="O168"/>
      <c r="P168"/>
      <c r="Q168"/>
      <c r="R168"/>
      <c r="S168"/>
      <c r="T168"/>
      <c r="U168"/>
      <c r="V168"/>
      <c r="W168"/>
      <c r="X168"/>
      <c r="Y168"/>
    </row>
    <row r="169" spans="1:25" s="3" customFormat="1" x14ac:dyDescent="0.45">
      <c r="A169" s="21"/>
      <c r="B169" s="29"/>
      <c r="C169" s="25"/>
      <c r="M169"/>
      <c r="N169"/>
      <c r="O169"/>
      <c r="P169"/>
      <c r="Q169"/>
      <c r="R169"/>
      <c r="S169"/>
      <c r="T169"/>
      <c r="U169"/>
      <c r="V169"/>
      <c r="W169"/>
      <c r="X169"/>
      <c r="Y169"/>
    </row>
    <row r="170" spans="1:25" s="3" customFormat="1" x14ac:dyDescent="0.45">
      <c r="A170" s="21"/>
      <c r="B170" s="29"/>
      <c r="C170" s="25"/>
      <c r="M170"/>
      <c r="N170"/>
      <c r="O170"/>
      <c r="P170"/>
      <c r="Q170"/>
      <c r="R170"/>
      <c r="S170"/>
      <c r="T170"/>
      <c r="U170"/>
      <c r="V170"/>
      <c r="W170"/>
      <c r="X170"/>
      <c r="Y170"/>
    </row>
    <row r="171" spans="1:25" s="3" customFormat="1" x14ac:dyDescent="0.45">
      <c r="A171" s="21"/>
      <c r="B171" s="29"/>
      <c r="C171" s="25"/>
      <c r="M171"/>
      <c r="N171"/>
      <c r="O171"/>
      <c r="P171"/>
      <c r="Q171"/>
      <c r="R171"/>
      <c r="S171"/>
      <c r="T171"/>
      <c r="U171"/>
      <c r="V171"/>
      <c r="W171"/>
      <c r="X171"/>
      <c r="Y171"/>
    </row>
    <row r="172" spans="1:25" s="3" customFormat="1" x14ac:dyDescent="0.45">
      <c r="A172" s="21"/>
      <c r="B172" s="29"/>
      <c r="C172" s="25"/>
      <c r="M172"/>
      <c r="N172"/>
      <c r="O172"/>
      <c r="P172"/>
      <c r="Q172"/>
      <c r="R172"/>
      <c r="S172"/>
      <c r="T172"/>
      <c r="U172"/>
      <c r="V172"/>
      <c r="W172"/>
      <c r="X172"/>
      <c r="Y172"/>
    </row>
    <row r="173" spans="1:25" s="3" customFormat="1" x14ac:dyDescent="0.45">
      <c r="A173" s="21"/>
      <c r="B173" s="29"/>
      <c r="C173" s="25"/>
      <c r="M173"/>
      <c r="N173"/>
      <c r="O173"/>
      <c r="P173"/>
      <c r="Q173"/>
      <c r="R173"/>
      <c r="S173"/>
      <c r="T173"/>
      <c r="U173"/>
      <c r="V173"/>
      <c r="W173"/>
      <c r="X173"/>
      <c r="Y173"/>
    </row>
    <row r="174" spans="1:25" s="3" customFormat="1" x14ac:dyDescent="0.45">
      <c r="A174" s="21"/>
      <c r="B174" s="29"/>
      <c r="C174" s="25"/>
      <c r="M174"/>
      <c r="N174"/>
      <c r="O174"/>
      <c r="P174"/>
      <c r="Q174"/>
      <c r="R174"/>
      <c r="S174"/>
      <c r="T174"/>
      <c r="U174"/>
      <c r="V174"/>
      <c r="W174"/>
      <c r="X174"/>
      <c r="Y174"/>
    </row>
    <row r="175" spans="1:25" s="3" customFormat="1" x14ac:dyDescent="0.45">
      <c r="A175" s="21"/>
      <c r="B175" s="29"/>
      <c r="C175" s="25"/>
      <c r="M175"/>
      <c r="N175"/>
      <c r="O175"/>
      <c r="P175"/>
      <c r="Q175"/>
      <c r="R175"/>
      <c r="S175"/>
      <c r="T175"/>
      <c r="U175"/>
      <c r="V175"/>
      <c r="W175"/>
      <c r="X175"/>
      <c r="Y175"/>
    </row>
    <row r="176" spans="1:25" s="3" customFormat="1" x14ac:dyDescent="0.45">
      <c r="A176" s="21"/>
      <c r="B176" s="29"/>
      <c r="C176" s="25"/>
      <c r="M176"/>
      <c r="N176"/>
      <c r="O176"/>
      <c r="P176"/>
      <c r="Q176"/>
      <c r="R176"/>
      <c r="S176"/>
      <c r="T176"/>
      <c r="U176"/>
      <c r="V176"/>
      <c r="W176"/>
      <c r="X176"/>
      <c r="Y176"/>
    </row>
    <row r="177" spans="1:25" s="3" customFormat="1" x14ac:dyDescent="0.45">
      <c r="A177" s="21"/>
      <c r="B177" s="29"/>
      <c r="C177" s="25"/>
      <c r="M177"/>
      <c r="N177"/>
      <c r="O177"/>
      <c r="P177"/>
      <c r="Q177"/>
      <c r="R177"/>
      <c r="S177"/>
      <c r="T177"/>
      <c r="U177"/>
      <c r="V177"/>
      <c r="W177"/>
      <c r="X177"/>
      <c r="Y177"/>
    </row>
    <row r="178" spans="1:25" s="3" customFormat="1" x14ac:dyDescent="0.45">
      <c r="A178" s="21"/>
      <c r="B178" s="29"/>
      <c r="C178" s="25"/>
      <c r="M178"/>
      <c r="N178"/>
      <c r="O178"/>
      <c r="P178"/>
      <c r="Q178"/>
      <c r="R178"/>
      <c r="S178"/>
      <c r="T178"/>
      <c r="U178"/>
      <c r="V178"/>
      <c r="W178"/>
      <c r="X178"/>
      <c r="Y178"/>
    </row>
    <row r="179" spans="1:25" s="3" customFormat="1" x14ac:dyDescent="0.45">
      <c r="A179" s="21"/>
      <c r="B179" s="29"/>
      <c r="C179" s="25"/>
      <c r="M179"/>
      <c r="N179"/>
      <c r="O179"/>
      <c r="P179"/>
      <c r="Q179"/>
      <c r="R179"/>
      <c r="S179"/>
      <c r="T179"/>
      <c r="U179"/>
      <c r="V179"/>
      <c r="W179"/>
      <c r="X179"/>
      <c r="Y179"/>
    </row>
    <row r="180" spans="1:25" s="3" customFormat="1" x14ac:dyDescent="0.45">
      <c r="A180" s="21"/>
      <c r="B180" s="29"/>
      <c r="C180" s="25"/>
      <c r="M180"/>
      <c r="N180"/>
      <c r="O180"/>
      <c r="P180"/>
      <c r="Q180"/>
      <c r="R180"/>
      <c r="S180"/>
      <c r="T180"/>
      <c r="U180"/>
      <c r="V180"/>
      <c r="W180"/>
      <c r="X180"/>
      <c r="Y180"/>
    </row>
    <row r="181" spans="1:25" s="3" customFormat="1" x14ac:dyDescent="0.45">
      <c r="A181" s="21"/>
      <c r="B181" s="29"/>
      <c r="C181" s="25"/>
      <c r="M181"/>
      <c r="N181"/>
      <c r="O181"/>
      <c r="P181"/>
      <c r="Q181"/>
      <c r="R181"/>
      <c r="S181"/>
      <c r="T181"/>
      <c r="U181"/>
      <c r="V181"/>
      <c r="W181"/>
      <c r="X181"/>
      <c r="Y181"/>
    </row>
    <row r="182" spans="1:25" s="3" customFormat="1" x14ac:dyDescent="0.45">
      <c r="A182" s="21"/>
      <c r="B182" s="29"/>
      <c r="C182" s="25"/>
      <c r="M182"/>
      <c r="N182"/>
      <c r="O182"/>
      <c r="P182"/>
      <c r="Q182"/>
      <c r="R182"/>
      <c r="S182"/>
      <c r="T182"/>
      <c r="U182"/>
      <c r="V182"/>
      <c r="W182"/>
      <c r="X182"/>
      <c r="Y182"/>
    </row>
    <row r="183" spans="1:25" s="3" customFormat="1" x14ac:dyDescent="0.45">
      <c r="A183" s="21"/>
      <c r="B183" s="29"/>
      <c r="C183" s="25"/>
      <c r="M183"/>
      <c r="N183"/>
      <c r="O183"/>
      <c r="P183"/>
      <c r="Q183"/>
      <c r="R183"/>
      <c r="S183"/>
      <c r="T183"/>
      <c r="U183"/>
      <c r="V183"/>
      <c r="W183"/>
      <c r="X183"/>
      <c r="Y183"/>
    </row>
    <row r="184" spans="1:25" s="3" customFormat="1" x14ac:dyDescent="0.45">
      <c r="A184" s="21"/>
      <c r="B184" s="29"/>
      <c r="C184" s="25"/>
      <c r="M184"/>
      <c r="N184"/>
      <c r="O184"/>
      <c r="P184"/>
      <c r="Q184"/>
      <c r="R184"/>
      <c r="S184"/>
      <c r="T184"/>
      <c r="U184"/>
      <c r="V184"/>
      <c r="W184"/>
      <c r="X184"/>
      <c r="Y184"/>
    </row>
    <row r="185" spans="1:25" s="3" customFormat="1" x14ac:dyDescent="0.45">
      <c r="A185" s="21"/>
      <c r="B185" s="29"/>
      <c r="C185" s="25"/>
      <c r="M185"/>
      <c r="N185"/>
      <c r="O185"/>
      <c r="P185"/>
      <c r="Q185"/>
      <c r="R185"/>
      <c r="S185"/>
      <c r="T185"/>
      <c r="U185"/>
      <c r="V185"/>
      <c r="W185"/>
      <c r="X185"/>
      <c r="Y185"/>
    </row>
    <row r="186" spans="1:25" s="3" customFormat="1" x14ac:dyDescent="0.45">
      <c r="A186" s="21"/>
      <c r="B186" s="29"/>
      <c r="C186" s="25"/>
      <c r="M186"/>
      <c r="N186"/>
      <c r="O186"/>
      <c r="P186"/>
      <c r="Q186"/>
      <c r="R186"/>
      <c r="S186"/>
      <c r="T186"/>
      <c r="U186"/>
      <c r="V186"/>
      <c r="W186"/>
      <c r="X186"/>
      <c r="Y186"/>
    </row>
    <row r="187" spans="1:25" s="3" customFormat="1" x14ac:dyDescent="0.45">
      <c r="A187" s="21"/>
      <c r="B187" s="29"/>
      <c r="C187" s="25"/>
      <c r="M187"/>
      <c r="N187"/>
      <c r="O187"/>
      <c r="P187"/>
      <c r="Q187"/>
      <c r="R187"/>
      <c r="S187"/>
      <c r="T187"/>
      <c r="U187"/>
      <c r="V187"/>
      <c r="W187"/>
      <c r="X187"/>
      <c r="Y187"/>
    </row>
    <row r="188" spans="1:25" s="3" customFormat="1" x14ac:dyDescent="0.45">
      <c r="A188" s="21"/>
      <c r="B188" s="29"/>
      <c r="C188" s="25"/>
      <c r="M188"/>
      <c r="N188"/>
      <c r="O188"/>
      <c r="P188"/>
      <c r="Q188"/>
      <c r="R188"/>
      <c r="S188"/>
      <c r="T188"/>
      <c r="U188"/>
      <c r="V188"/>
      <c r="W188"/>
      <c r="X188"/>
      <c r="Y188"/>
    </row>
    <row r="189" spans="1:25" s="3" customFormat="1" x14ac:dyDescent="0.45">
      <c r="A189" s="21"/>
      <c r="B189" s="29"/>
      <c r="C189" s="25"/>
      <c r="M189"/>
      <c r="N189"/>
      <c r="O189"/>
      <c r="P189"/>
      <c r="Q189"/>
      <c r="R189"/>
      <c r="S189"/>
      <c r="T189"/>
      <c r="U189"/>
      <c r="V189"/>
      <c r="W189"/>
      <c r="X189"/>
      <c r="Y189"/>
    </row>
    <row r="190" spans="1:25" s="3" customFormat="1" x14ac:dyDescent="0.45">
      <c r="A190" s="21"/>
      <c r="B190" s="29"/>
      <c r="C190" s="25"/>
      <c r="M190"/>
      <c r="N190"/>
      <c r="O190"/>
      <c r="P190"/>
      <c r="Q190"/>
      <c r="R190"/>
      <c r="S190"/>
      <c r="T190"/>
      <c r="U190"/>
      <c r="V190"/>
      <c r="W190"/>
      <c r="X190"/>
      <c r="Y190"/>
    </row>
    <row r="191" spans="1:25" s="3" customFormat="1" x14ac:dyDescent="0.45">
      <c r="A191" s="21"/>
      <c r="B191" s="29"/>
      <c r="C191" s="25"/>
      <c r="M191"/>
      <c r="N191"/>
      <c r="O191"/>
      <c r="P191"/>
      <c r="Q191"/>
      <c r="R191"/>
      <c r="S191"/>
      <c r="T191"/>
      <c r="U191"/>
      <c r="V191"/>
      <c r="W191"/>
      <c r="X191"/>
      <c r="Y191"/>
    </row>
    <row r="192" spans="1:25" s="3" customFormat="1" x14ac:dyDescent="0.45">
      <c r="A192" s="21"/>
      <c r="B192" s="29"/>
      <c r="C192" s="25"/>
      <c r="M192"/>
      <c r="N192"/>
      <c r="O192"/>
      <c r="P192"/>
      <c r="Q192"/>
      <c r="R192"/>
      <c r="S192"/>
      <c r="T192"/>
      <c r="U192"/>
      <c r="V192"/>
      <c r="W192"/>
      <c r="X192"/>
      <c r="Y192"/>
    </row>
    <row r="193" spans="1:25" s="3" customFormat="1" x14ac:dyDescent="0.45">
      <c r="A193" s="21"/>
      <c r="B193" s="29"/>
      <c r="C193" s="25"/>
      <c r="M193"/>
      <c r="N193"/>
      <c r="O193"/>
      <c r="P193"/>
      <c r="Q193"/>
      <c r="R193"/>
      <c r="S193"/>
      <c r="T193"/>
      <c r="U193"/>
      <c r="V193"/>
      <c r="W193"/>
      <c r="X193"/>
      <c r="Y193"/>
    </row>
    <row r="194" spans="1:25" s="3" customFormat="1" x14ac:dyDescent="0.45">
      <c r="A194" s="21"/>
      <c r="B194" s="29"/>
      <c r="C194" s="25"/>
      <c r="M194"/>
      <c r="N194"/>
      <c r="O194"/>
      <c r="P194"/>
      <c r="Q194"/>
      <c r="R194"/>
      <c r="S194"/>
      <c r="T194"/>
      <c r="U194"/>
      <c r="V194"/>
      <c r="W194"/>
      <c r="X194"/>
      <c r="Y194"/>
    </row>
    <row r="195" spans="1:25" s="3" customFormat="1" x14ac:dyDescent="0.45">
      <c r="A195" s="21"/>
      <c r="B195" s="29"/>
      <c r="C195" s="25"/>
      <c r="M195"/>
      <c r="N195"/>
      <c r="O195"/>
      <c r="P195"/>
      <c r="Q195"/>
      <c r="R195"/>
      <c r="S195"/>
      <c r="T195"/>
      <c r="U195"/>
      <c r="V195"/>
      <c r="W195"/>
      <c r="X195"/>
      <c r="Y195"/>
    </row>
    <row r="196" spans="1:25" s="3" customFormat="1" x14ac:dyDescent="0.45">
      <c r="A196" s="21"/>
      <c r="B196" s="29"/>
      <c r="C196" s="25"/>
      <c r="M196"/>
      <c r="N196"/>
      <c r="O196"/>
      <c r="P196"/>
      <c r="Q196"/>
      <c r="R196"/>
      <c r="S196"/>
      <c r="T196"/>
      <c r="U196"/>
      <c r="V196"/>
      <c r="W196"/>
      <c r="X196"/>
      <c r="Y196"/>
    </row>
    <row r="197" spans="1:25" s="3" customFormat="1" x14ac:dyDescent="0.45">
      <c r="A197" s="21"/>
      <c r="B197" s="29"/>
      <c r="C197" s="25"/>
      <c r="M197"/>
      <c r="N197"/>
      <c r="O197"/>
      <c r="P197"/>
      <c r="Q197"/>
      <c r="R197"/>
      <c r="S197"/>
      <c r="T197"/>
      <c r="U197"/>
      <c r="V197"/>
      <c r="W197"/>
      <c r="X197"/>
      <c r="Y197"/>
    </row>
    <row r="198" spans="1:25" s="3" customFormat="1" x14ac:dyDescent="0.45">
      <c r="A198" s="21"/>
      <c r="B198" s="29"/>
      <c r="C198" s="25"/>
      <c r="M198"/>
      <c r="N198"/>
      <c r="O198"/>
      <c r="P198"/>
      <c r="Q198"/>
      <c r="R198"/>
      <c r="S198"/>
      <c r="T198"/>
      <c r="U198"/>
      <c r="V198"/>
      <c r="W198"/>
      <c r="X198"/>
      <c r="Y198"/>
    </row>
    <row r="199" spans="1:25" s="3" customFormat="1" x14ac:dyDescent="0.45">
      <c r="A199" s="21"/>
      <c r="B199" s="29"/>
      <c r="C199" s="25"/>
      <c r="M199"/>
      <c r="N199"/>
      <c r="O199"/>
      <c r="P199"/>
      <c r="Q199"/>
      <c r="R199"/>
      <c r="S199"/>
      <c r="T199"/>
      <c r="U199"/>
      <c r="V199"/>
      <c r="W199"/>
      <c r="X199"/>
      <c r="Y199"/>
    </row>
    <row r="200" spans="1:25" s="3" customFormat="1" x14ac:dyDescent="0.45">
      <c r="A200" s="21"/>
      <c r="B200" s="29"/>
      <c r="C200" s="25"/>
      <c r="M200"/>
      <c r="N200"/>
      <c r="O200"/>
      <c r="P200"/>
      <c r="Q200"/>
      <c r="R200"/>
      <c r="S200"/>
      <c r="T200"/>
      <c r="U200"/>
      <c r="V200"/>
      <c r="W200"/>
      <c r="X200"/>
      <c r="Y200"/>
    </row>
    <row r="201" spans="1:25" s="3" customFormat="1" x14ac:dyDescent="0.45">
      <c r="A201" s="21"/>
      <c r="B201" s="29"/>
      <c r="C201" s="25"/>
      <c r="M201"/>
      <c r="N201"/>
      <c r="O201"/>
      <c r="P201"/>
      <c r="Q201"/>
      <c r="R201"/>
      <c r="S201"/>
      <c r="T201"/>
      <c r="U201"/>
      <c r="V201"/>
      <c r="W201"/>
      <c r="X201"/>
      <c r="Y201"/>
    </row>
    <row r="202" spans="1:25" s="3" customFormat="1" x14ac:dyDescent="0.45">
      <c r="A202" s="21"/>
      <c r="B202" s="29"/>
      <c r="C202" s="25"/>
      <c r="M202"/>
      <c r="N202"/>
      <c r="O202"/>
      <c r="P202"/>
      <c r="Q202"/>
      <c r="R202"/>
      <c r="S202"/>
      <c r="T202"/>
      <c r="U202"/>
      <c r="V202"/>
      <c r="W202"/>
      <c r="X202"/>
      <c r="Y202"/>
    </row>
    <row r="203" spans="1:25" s="3" customFormat="1" x14ac:dyDescent="0.45">
      <c r="A203" s="21"/>
      <c r="B203" s="29"/>
      <c r="C203" s="25"/>
      <c r="M203"/>
      <c r="N203"/>
      <c r="O203"/>
      <c r="P203"/>
      <c r="Q203"/>
      <c r="R203"/>
      <c r="S203"/>
      <c r="T203"/>
      <c r="U203"/>
      <c r="V203"/>
      <c r="W203"/>
      <c r="X203"/>
      <c r="Y203"/>
    </row>
    <row r="204" spans="1:25" s="3" customFormat="1" x14ac:dyDescent="0.45">
      <c r="A204" s="21"/>
      <c r="B204" s="29"/>
      <c r="C204" s="25"/>
      <c r="M204"/>
      <c r="N204"/>
      <c r="O204"/>
      <c r="P204"/>
      <c r="Q204"/>
      <c r="R204"/>
      <c r="S204"/>
      <c r="T204"/>
      <c r="U204"/>
      <c r="V204"/>
      <c r="W204"/>
      <c r="X204"/>
      <c r="Y204"/>
    </row>
    <row r="205" spans="1:25" s="3" customFormat="1" x14ac:dyDescent="0.45">
      <c r="A205" s="21"/>
      <c r="B205" s="29"/>
      <c r="C205" s="25"/>
      <c r="M205"/>
      <c r="N205"/>
      <c r="O205"/>
      <c r="P205"/>
      <c r="Q205"/>
      <c r="R205"/>
      <c r="S205"/>
      <c r="T205"/>
      <c r="U205"/>
      <c r="V205"/>
      <c r="W205"/>
      <c r="X205"/>
      <c r="Y205"/>
    </row>
    <row r="206" spans="1:25" s="3" customFormat="1" x14ac:dyDescent="0.45">
      <c r="A206" s="21"/>
      <c r="B206" s="29"/>
      <c r="C206" s="25"/>
      <c r="M206"/>
      <c r="N206"/>
      <c r="O206"/>
      <c r="P206"/>
      <c r="Q206"/>
      <c r="R206"/>
      <c r="S206"/>
      <c r="T206"/>
      <c r="U206"/>
      <c r="V206"/>
      <c r="W206"/>
      <c r="X206"/>
      <c r="Y206"/>
    </row>
    <row r="207" spans="1:25" s="3" customFormat="1" x14ac:dyDescent="0.45">
      <c r="A207" s="21"/>
      <c r="B207" s="29"/>
      <c r="C207" s="25"/>
      <c r="M207"/>
      <c r="N207"/>
      <c r="O207"/>
      <c r="P207"/>
      <c r="Q207"/>
      <c r="R207"/>
      <c r="S207"/>
      <c r="T207"/>
      <c r="U207"/>
      <c r="V207"/>
      <c r="W207"/>
      <c r="X207"/>
      <c r="Y207"/>
    </row>
    <row r="208" spans="1:25" s="3" customFormat="1" x14ac:dyDescent="0.45">
      <c r="A208" s="21"/>
      <c r="B208" s="29"/>
      <c r="C208" s="25"/>
      <c r="M208"/>
      <c r="N208"/>
      <c r="O208"/>
      <c r="P208"/>
      <c r="Q208"/>
      <c r="R208"/>
      <c r="S208"/>
      <c r="T208"/>
      <c r="U208"/>
      <c r="V208"/>
      <c r="W208"/>
      <c r="X208"/>
      <c r="Y208"/>
    </row>
    <row r="209" spans="1:25" s="3" customFormat="1" x14ac:dyDescent="0.45">
      <c r="A209" s="21"/>
      <c r="B209" s="29"/>
      <c r="C209" s="25"/>
      <c r="M209"/>
      <c r="N209"/>
      <c r="O209"/>
      <c r="P209"/>
      <c r="Q209"/>
      <c r="R209"/>
      <c r="S209"/>
      <c r="T209"/>
      <c r="U209"/>
      <c r="V209"/>
      <c r="W209"/>
      <c r="X209"/>
      <c r="Y209"/>
    </row>
    <row r="210" spans="1:25" s="3" customFormat="1" x14ac:dyDescent="0.45">
      <c r="A210" s="21"/>
      <c r="B210" s="29"/>
      <c r="C210" s="25"/>
      <c r="M210"/>
      <c r="N210"/>
      <c r="O210"/>
      <c r="P210"/>
      <c r="Q210"/>
      <c r="R210"/>
      <c r="S210"/>
      <c r="T210"/>
      <c r="U210"/>
      <c r="V210"/>
      <c r="W210"/>
      <c r="X210"/>
      <c r="Y210"/>
    </row>
    <row r="211" spans="1:25" s="3" customFormat="1" x14ac:dyDescent="0.45">
      <c r="A211" s="21"/>
      <c r="B211" s="29"/>
      <c r="C211" s="25"/>
      <c r="M211"/>
      <c r="N211"/>
      <c r="O211"/>
      <c r="P211"/>
      <c r="Q211"/>
      <c r="R211"/>
      <c r="S211"/>
      <c r="T211"/>
      <c r="U211"/>
      <c r="V211"/>
      <c r="W211"/>
      <c r="X211"/>
      <c r="Y211"/>
    </row>
    <row r="212" spans="1:25" s="3" customFormat="1" x14ac:dyDescent="0.45">
      <c r="A212" s="21"/>
      <c r="B212" s="29"/>
      <c r="C212" s="25"/>
      <c r="M212"/>
      <c r="N212"/>
      <c r="O212"/>
      <c r="P212"/>
      <c r="Q212"/>
      <c r="R212"/>
      <c r="S212"/>
      <c r="T212"/>
      <c r="U212"/>
      <c r="V212"/>
      <c r="W212"/>
      <c r="X212"/>
      <c r="Y212"/>
    </row>
    <row r="213" spans="1:25" s="3" customFormat="1" x14ac:dyDescent="0.45">
      <c r="A213" s="21"/>
      <c r="B213" s="29"/>
      <c r="C213" s="25"/>
      <c r="M213"/>
      <c r="N213"/>
      <c r="O213"/>
      <c r="P213"/>
      <c r="Q213"/>
      <c r="R213"/>
      <c r="S213"/>
      <c r="T213"/>
      <c r="U213"/>
      <c r="V213"/>
      <c r="W213"/>
      <c r="X213"/>
      <c r="Y213"/>
    </row>
    <row r="214" spans="1:25" s="3" customFormat="1" x14ac:dyDescent="0.45">
      <c r="A214" s="21"/>
      <c r="B214" s="29"/>
      <c r="C214" s="25"/>
      <c r="M214"/>
      <c r="N214"/>
      <c r="O214"/>
      <c r="P214"/>
      <c r="Q214"/>
      <c r="R214"/>
      <c r="S214"/>
      <c r="T214"/>
      <c r="U214"/>
      <c r="V214"/>
      <c r="W214"/>
      <c r="X214"/>
      <c r="Y214"/>
    </row>
    <row r="215" spans="1:25" s="3" customFormat="1" x14ac:dyDescent="0.45">
      <c r="A215" s="21"/>
      <c r="B215" s="29"/>
      <c r="C215" s="25"/>
      <c r="M215"/>
      <c r="N215"/>
      <c r="O215"/>
      <c r="P215"/>
      <c r="Q215"/>
      <c r="R215"/>
      <c r="S215"/>
      <c r="T215"/>
      <c r="U215"/>
      <c r="V215"/>
      <c r="W215"/>
      <c r="X215"/>
      <c r="Y215"/>
    </row>
    <row r="216" spans="1:25" s="3" customFormat="1" x14ac:dyDescent="0.45">
      <c r="A216" s="21"/>
      <c r="B216" s="29"/>
      <c r="C216" s="25"/>
      <c r="M216"/>
      <c r="N216"/>
      <c r="O216"/>
      <c r="P216"/>
      <c r="Q216"/>
      <c r="R216"/>
      <c r="S216"/>
      <c r="T216"/>
      <c r="U216"/>
      <c r="V216"/>
      <c r="W216"/>
      <c r="X216"/>
      <c r="Y216"/>
    </row>
    <row r="217" spans="1:25" s="3" customFormat="1" x14ac:dyDescent="0.45">
      <c r="A217" s="21"/>
      <c r="B217" s="29"/>
      <c r="C217" s="25"/>
      <c r="M217"/>
      <c r="N217"/>
      <c r="O217"/>
      <c r="P217"/>
      <c r="Q217"/>
      <c r="R217"/>
      <c r="S217"/>
      <c r="T217"/>
      <c r="U217"/>
      <c r="V217"/>
      <c r="W217"/>
      <c r="X217"/>
      <c r="Y217"/>
    </row>
    <row r="218" spans="1:25" s="3" customFormat="1" x14ac:dyDescent="0.45">
      <c r="A218" s="21"/>
      <c r="B218" s="29"/>
      <c r="C218" s="25"/>
      <c r="M218"/>
      <c r="N218"/>
      <c r="O218"/>
      <c r="P218"/>
      <c r="Q218"/>
      <c r="R218"/>
      <c r="S218"/>
      <c r="T218"/>
      <c r="U218"/>
      <c r="V218"/>
      <c r="W218"/>
      <c r="X218"/>
      <c r="Y218"/>
    </row>
    <row r="219" spans="1:25" s="3" customFormat="1" x14ac:dyDescent="0.45">
      <c r="A219" s="21"/>
      <c r="B219" s="29"/>
      <c r="C219" s="25"/>
      <c r="M219"/>
      <c r="N219"/>
      <c r="O219"/>
      <c r="P219"/>
      <c r="Q219"/>
      <c r="R219"/>
      <c r="S219"/>
      <c r="T219"/>
      <c r="U219"/>
      <c r="V219"/>
      <c r="W219"/>
      <c r="X219"/>
      <c r="Y219"/>
    </row>
    <row r="220" spans="1:25" s="3" customFormat="1" x14ac:dyDescent="0.45">
      <c r="A220" s="21"/>
      <c r="B220" s="29"/>
      <c r="C220" s="25"/>
      <c r="M220"/>
      <c r="N220"/>
      <c r="O220"/>
      <c r="P220"/>
      <c r="Q220"/>
      <c r="R220"/>
      <c r="S220"/>
      <c r="T220"/>
      <c r="U220"/>
      <c r="V220"/>
      <c r="W220"/>
      <c r="X220"/>
      <c r="Y220"/>
    </row>
    <row r="221" spans="1:25" s="3" customFormat="1" x14ac:dyDescent="0.45">
      <c r="A221" s="21"/>
      <c r="B221" s="29"/>
      <c r="C221" s="25"/>
      <c r="M221"/>
      <c r="N221"/>
      <c r="O221"/>
      <c r="P221"/>
      <c r="Q221"/>
      <c r="R221"/>
      <c r="S221"/>
      <c r="T221"/>
      <c r="U221"/>
      <c r="V221"/>
      <c r="W221"/>
      <c r="X221"/>
      <c r="Y221"/>
    </row>
    <row r="222" spans="1:25" s="3" customFormat="1" x14ac:dyDescent="0.45">
      <c r="A222" s="21"/>
      <c r="B222" s="29"/>
      <c r="C222" s="25"/>
      <c r="M222"/>
      <c r="N222"/>
      <c r="O222"/>
      <c r="P222"/>
      <c r="Q222"/>
      <c r="R222"/>
      <c r="S222"/>
      <c r="T222"/>
      <c r="U222"/>
      <c r="V222"/>
      <c r="W222"/>
      <c r="X222"/>
      <c r="Y222"/>
    </row>
    <row r="223" spans="1:25" s="3" customFormat="1" x14ac:dyDescent="0.45">
      <c r="A223" s="21"/>
      <c r="B223" s="29"/>
      <c r="C223" s="25"/>
      <c r="M223"/>
      <c r="N223"/>
      <c r="O223"/>
      <c r="P223"/>
      <c r="Q223"/>
      <c r="R223"/>
      <c r="S223"/>
      <c r="T223"/>
      <c r="U223"/>
      <c r="V223"/>
      <c r="W223"/>
      <c r="X223"/>
      <c r="Y223"/>
    </row>
    <row r="224" spans="1:25" s="3" customFormat="1" x14ac:dyDescent="0.45">
      <c r="A224" s="21"/>
      <c r="B224" s="29"/>
      <c r="C224" s="25"/>
      <c r="M224"/>
      <c r="N224"/>
      <c r="O224"/>
      <c r="P224"/>
      <c r="Q224"/>
      <c r="R224"/>
      <c r="S224"/>
      <c r="T224"/>
      <c r="U224"/>
      <c r="V224"/>
      <c r="W224"/>
      <c r="X224"/>
      <c r="Y224"/>
    </row>
    <row r="225" spans="1:25" s="3" customFormat="1" x14ac:dyDescent="0.45">
      <c r="A225" s="21"/>
      <c r="B225" s="29"/>
      <c r="C225" s="25"/>
      <c r="M225"/>
      <c r="N225"/>
      <c r="O225"/>
      <c r="P225"/>
      <c r="Q225"/>
      <c r="R225"/>
      <c r="S225"/>
      <c r="T225"/>
      <c r="U225"/>
      <c r="V225"/>
      <c r="W225"/>
      <c r="X225"/>
      <c r="Y225"/>
    </row>
    <row r="226" spans="1:25" s="3" customFormat="1" x14ac:dyDescent="0.45">
      <c r="A226" s="21"/>
      <c r="B226" s="29"/>
      <c r="C226" s="25"/>
      <c r="M226"/>
      <c r="N226"/>
      <c r="O226"/>
      <c r="P226"/>
      <c r="Q226"/>
      <c r="R226"/>
      <c r="S226"/>
      <c r="T226"/>
      <c r="U226"/>
      <c r="V226"/>
      <c r="W226"/>
      <c r="X226"/>
      <c r="Y226"/>
    </row>
    <row r="227" spans="1:25" s="3" customFormat="1" x14ac:dyDescent="0.45">
      <c r="A227" s="21"/>
      <c r="B227" s="29"/>
      <c r="C227" s="25"/>
      <c r="M227"/>
      <c r="N227"/>
      <c r="O227"/>
      <c r="P227"/>
      <c r="Q227"/>
      <c r="R227"/>
      <c r="S227"/>
      <c r="T227"/>
      <c r="U227"/>
      <c r="V227"/>
      <c r="W227"/>
      <c r="X227"/>
      <c r="Y227"/>
    </row>
    <row r="228" spans="1:25" s="3" customFormat="1" x14ac:dyDescent="0.45">
      <c r="A228" s="21"/>
      <c r="B228" s="29"/>
      <c r="C228" s="25"/>
      <c r="M228"/>
      <c r="N228"/>
      <c r="O228"/>
      <c r="P228"/>
      <c r="Q228"/>
      <c r="R228"/>
      <c r="S228"/>
      <c r="T228"/>
      <c r="U228"/>
      <c r="V228"/>
      <c r="W228"/>
      <c r="X228"/>
      <c r="Y228"/>
    </row>
    <row r="229" spans="1:25" s="3" customFormat="1" x14ac:dyDescent="0.45">
      <c r="A229" s="21"/>
      <c r="B229" s="29"/>
      <c r="C229" s="25"/>
      <c r="M229"/>
      <c r="N229"/>
      <c r="O229"/>
      <c r="P229"/>
      <c r="Q229"/>
      <c r="R229"/>
      <c r="S229"/>
      <c r="T229"/>
      <c r="U229"/>
      <c r="V229"/>
      <c r="W229"/>
      <c r="X229"/>
      <c r="Y229"/>
    </row>
    <row r="230" spans="1:25" s="3" customFormat="1" x14ac:dyDescent="0.45">
      <c r="A230" s="21"/>
      <c r="B230" s="29"/>
      <c r="C230" s="25"/>
      <c r="M230"/>
      <c r="N230"/>
      <c r="O230"/>
      <c r="P230"/>
      <c r="Q230"/>
      <c r="R230"/>
      <c r="S230"/>
      <c r="T230"/>
      <c r="U230"/>
      <c r="V230"/>
      <c r="W230"/>
      <c r="X230"/>
      <c r="Y230"/>
    </row>
    <row r="231" spans="1:25" s="3" customFormat="1" x14ac:dyDescent="0.45">
      <c r="A231" s="21"/>
      <c r="B231" s="29"/>
      <c r="C231" s="25"/>
      <c r="M231"/>
      <c r="N231"/>
      <c r="O231"/>
      <c r="P231"/>
      <c r="Q231"/>
      <c r="R231"/>
      <c r="S231"/>
      <c r="T231"/>
      <c r="U231"/>
      <c r="V231"/>
      <c r="W231"/>
      <c r="X231"/>
      <c r="Y231"/>
    </row>
    <row r="232" spans="1:25" s="3" customFormat="1" x14ac:dyDescent="0.45">
      <c r="A232" s="21"/>
      <c r="B232" s="29"/>
      <c r="C232" s="25"/>
      <c r="M232"/>
      <c r="N232"/>
      <c r="O232"/>
      <c r="P232"/>
      <c r="Q232"/>
      <c r="R232"/>
      <c r="S232"/>
      <c r="T232"/>
      <c r="U232"/>
      <c r="V232"/>
      <c r="W232"/>
      <c r="X232"/>
      <c r="Y232"/>
    </row>
    <row r="233" spans="1:25" s="3" customFormat="1" x14ac:dyDescent="0.45">
      <c r="A233" s="21"/>
      <c r="B233" s="29"/>
      <c r="C233" s="25"/>
      <c r="M233"/>
      <c r="N233"/>
      <c r="O233"/>
      <c r="P233"/>
      <c r="Q233"/>
      <c r="R233"/>
      <c r="S233"/>
      <c r="T233"/>
      <c r="U233"/>
      <c r="V233"/>
      <c r="W233"/>
      <c r="X233"/>
      <c r="Y233"/>
    </row>
    <row r="234" spans="1:25" s="3" customFormat="1" x14ac:dyDescent="0.45">
      <c r="A234" s="21"/>
      <c r="B234" s="29"/>
      <c r="C234" s="25"/>
      <c r="M234"/>
      <c r="N234"/>
      <c r="O234"/>
      <c r="P234"/>
      <c r="Q234"/>
      <c r="R234"/>
      <c r="S234"/>
      <c r="T234"/>
      <c r="U234"/>
      <c r="V234"/>
      <c r="W234"/>
      <c r="X234"/>
      <c r="Y234"/>
    </row>
    <row r="235" spans="1:25" s="3" customFormat="1" x14ac:dyDescent="0.45">
      <c r="A235" s="21"/>
      <c r="B235" s="29"/>
      <c r="C235" s="25"/>
      <c r="M235"/>
      <c r="N235"/>
      <c r="O235"/>
      <c r="P235"/>
      <c r="Q235"/>
      <c r="R235"/>
      <c r="S235"/>
      <c r="T235"/>
      <c r="U235"/>
      <c r="V235"/>
      <c r="W235"/>
      <c r="X235"/>
      <c r="Y235"/>
    </row>
    <row r="236" spans="1:25" s="3" customFormat="1" x14ac:dyDescent="0.45">
      <c r="A236" s="21"/>
      <c r="B236" s="29"/>
      <c r="C236" s="25"/>
      <c r="M236"/>
      <c r="N236"/>
      <c r="O236"/>
      <c r="P236"/>
      <c r="Q236"/>
      <c r="R236"/>
      <c r="S236"/>
      <c r="T236"/>
      <c r="U236"/>
      <c r="V236"/>
      <c r="W236"/>
      <c r="X236"/>
      <c r="Y236"/>
    </row>
    <row r="237" spans="1:25" s="3" customFormat="1" x14ac:dyDescent="0.45">
      <c r="A237" s="21"/>
      <c r="B237" s="29"/>
      <c r="C237" s="25"/>
      <c r="M237"/>
      <c r="N237"/>
      <c r="O237"/>
      <c r="P237"/>
      <c r="Q237"/>
      <c r="R237"/>
      <c r="S237"/>
      <c r="T237"/>
      <c r="U237"/>
      <c r="V237"/>
      <c r="W237"/>
      <c r="X237"/>
      <c r="Y237"/>
    </row>
    <row r="238" spans="1:25" s="3" customFormat="1" x14ac:dyDescent="0.45">
      <c r="A238" s="21"/>
      <c r="B238" s="29"/>
      <c r="C238" s="25"/>
      <c r="M238"/>
      <c r="N238"/>
      <c r="O238"/>
      <c r="P238"/>
      <c r="Q238"/>
      <c r="R238"/>
      <c r="S238"/>
      <c r="T238"/>
      <c r="U238"/>
      <c r="V238"/>
      <c r="W238"/>
      <c r="X238"/>
      <c r="Y238"/>
    </row>
    <row r="239" spans="1:25" s="3" customFormat="1" x14ac:dyDescent="0.45">
      <c r="A239" s="21"/>
      <c r="B239" s="29"/>
      <c r="C239" s="25"/>
      <c r="M239"/>
      <c r="N239"/>
      <c r="O239"/>
      <c r="P239"/>
      <c r="Q239"/>
      <c r="R239"/>
      <c r="S239"/>
      <c r="T239"/>
      <c r="U239"/>
      <c r="V239"/>
      <c r="W239"/>
      <c r="X239"/>
      <c r="Y239"/>
    </row>
    <row r="240" spans="1:25" s="3" customFormat="1" x14ac:dyDescent="0.45">
      <c r="A240" s="21"/>
      <c r="B240" s="29"/>
      <c r="C240" s="25"/>
      <c r="M240"/>
      <c r="N240"/>
      <c r="O240"/>
      <c r="P240"/>
      <c r="Q240"/>
      <c r="R240"/>
      <c r="S240"/>
      <c r="T240"/>
      <c r="U240"/>
      <c r="V240"/>
      <c r="W240"/>
      <c r="X240"/>
      <c r="Y240"/>
    </row>
    <row r="241" spans="1:25" s="3" customFormat="1" x14ac:dyDescent="0.45">
      <c r="A241" s="21"/>
      <c r="B241" s="29"/>
      <c r="C241" s="25"/>
      <c r="M241"/>
      <c r="N241"/>
      <c r="O241"/>
      <c r="P241"/>
      <c r="Q241"/>
      <c r="R241"/>
      <c r="S241"/>
      <c r="T241"/>
      <c r="U241"/>
      <c r="V241"/>
      <c r="W241"/>
      <c r="X241"/>
      <c r="Y241"/>
    </row>
    <row r="242" spans="1:25" s="3" customFormat="1" x14ac:dyDescent="0.45">
      <c r="A242" s="21"/>
      <c r="B242" s="29"/>
      <c r="C242" s="25"/>
      <c r="M242"/>
      <c r="N242"/>
      <c r="O242"/>
      <c r="P242"/>
      <c r="Q242"/>
      <c r="R242"/>
      <c r="S242"/>
      <c r="T242"/>
      <c r="U242"/>
      <c r="V242"/>
      <c r="W242"/>
      <c r="X242"/>
      <c r="Y242"/>
    </row>
    <row r="243" spans="1:25" s="3" customFormat="1" x14ac:dyDescent="0.45">
      <c r="A243" s="21"/>
      <c r="B243" s="29"/>
      <c r="C243" s="25"/>
      <c r="M243"/>
      <c r="N243"/>
      <c r="O243"/>
      <c r="P243"/>
      <c r="Q243"/>
      <c r="R243"/>
      <c r="S243"/>
      <c r="T243"/>
      <c r="U243"/>
      <c r="V243"/>
      <c r="W243"/>
      <c r="X243"/>
      <c r="Y243"/>
    </row>
    <row r="244" spans="1:25" s="3" customFormat="1" x14ac:dyDescent="0.45">
      <c r="A244" s="21"/>
      <c r="B244" s="29"/>
      <c r="C244" s="25"/>
      <c r="M244"/>
      <c r="N244"/>
      <c r="O244"/>
      <c r="P244"/>
      <c r="Q244"/>
      <c r="R244"/>
      <c r="S244"/>
      <c r="T244"/>
      <c r="U244"/>
      <c r="V244"/>
      <c r="W244"/>
      <c r="X244"/>
      <c r="Y244"/>
    </row>
    <row r="245" spans="1:25" s="3" customFormat="1" x14ac:dyDescent="0.45">
      <c r="A245" s="21"/>
      <c r="B245" s="29"/>
      <c r="C245" s="25"/>
      <c r="M245"/>
      <c r="N245"/>
      <c r="O245"/>
      <c r="P245"/>
      <c r="Q245"/>
      <c r="R245"/>
      <c r="S245"/>
      <c r="T245"/>
      <c r="U245"/>
      <c r="V245"/>
      <c r="W245"/>
      <c r="X245"/>
      <c r="Y245"/>
    </row>
    <row r="246" spans="1:25" s="3" customFormat="1" x14ac:dyDescent="0.45">
      <c r="A246" s="21"/>
      <c r="B246" s="29"/>
      <c r="C246" s="25"/>
      <c r="M246"/>
      <c r="N246"/>
      <c r="O246"/>
      <c r="P246"/>
      <c r="Q246"/>
      <c r="R246"/>
      <c r="S246"/>
      <c r="T246"/>
      <c r="U246"/>
      <c r="V246"/>
      <c r="W246"/>
      <c r="X246"/>
      <c r="Y246"/>
    </row>
    <row r="247" spans="1:25" s="3" customFormat="1" x14ac:dyDescent="0.45">
      <c r="A247" s="21"/>
      <c r="B247" s="29"/>
      <c r="C247" s="25"/>
      <c r="M247"/>
      <c r="N247"/>
      <c r="O247"/>
      <c r="P247"/>
      <c r="Q247"/>
      <c r="R247"/>
      <c r="S247"/>
      <c r="T247"/>
      <c r="U247"/>
      <c r="V247"/>
      <c r="W247"/>
      <c r="X247"/>
      <c r="Y247"/>
    </row>
    <row r="248" spans="1:25" s="3" customFormat="1" x14ac:dyDescent="0.45">
      <c r="A248" s="21"/>
      <c r="B248" s="29"/>
      <c r="C248" s="25"/>
      <c r="M248"/>
      <c r="N248"/>
      <c r="O248"/>
      <c r="P248"/>
      <c r="Q248"/>
      <c r="R248"/>
      <c r="S248"/>
      <c r="T248"/>
      <c r="U248"/>
      <c r="V248"/>
      <c r="W248"/>
      <c r="X248"/>
      <c r="Y248"/>
    </row>
    <row r="249" spans="1:25" s="3" customFormat="1" x14ac:dyDescent="0.45">
      <c r="A249" s="21"/>
      <c r="B249" s="29"/>
      <c r="C249" s="25"/>
      <c r="M249"/>
      <c r="N249"/>
      <c r="O249"/>
      <c r="P249"/>
      <c r="Q249"/>
      <c r="R249"/>
      <c r="S249"/>
      <c r="T249"/>
      <c r="U249"/>
      <c r="V249"/>
      <c r="W249"/>
      <c r="X249"/>
      <c r="Y249"/>
    </row>
    <row r="250" spans="1:25" s="3" customFormat="1" x14ac:dyDescent="0.45">
      <c r="A250" s="21"/>
      <c r="B250" s="29"/>
      <c r="C250" s="25"/>
      <c r="M250"/>
      <c r="N250"/>
      <c r="O250"/>
      <c r="P250"/>
      <c r="Q250"/>
      <c r="R250"/>
      <c r="S250"/>
      <c r="T250"/>
      <c r="U250"/>
      <c r="V250"/>
      <c r="W250"/>
      <c r="X250"/>
      <c r="Y250"/>
    </row>
    <row r="251" spans="1:25" s="3" customFormat="1" x14ac:dyDescent="0.45">
      <c r="A251" s="21"/>
      <c r="B251" s="29"/>
      <c r="C251" s="25"/>
      <c r="M251"/>
      <c r="N251"/>
      <c r="O251"/>
      <c r="P251"/>
      <c r="Q251"/>
      <c r="R251"/>
      <c r="S251"/>
      <c r="T251"/>
      <c r="U251"/>
      <c r="V251"/>
      <c r="W251"/>
      <c r="X251"/>
      <c r="Y251"/>
    </row>
    <row r="252" spans="1:25" s="3" customFormat="1" x14ac:dyDescent="0.45">
      <c r="A252" s="21"/>
      <c r="B252" s="29"/>
      <c r="C252" s="25"/>
      <c r="M252"/>
      <c r="N252"/>
      <c r="O252"/>
      <c r="P252"/>
      <c r="Q252"/>
      <c r="R252"/>
      <c r="S252"/>
      <c r="T252"/>
      <c r="U252"/>
      <c r="V252"/>
      <c r="W252"/>
      <c r="X252"/>
      <c r="Y252"/>
    </row>
    <row r="253" spans="1:25" s="3" customFormat="1" x14ac:dyDescent="0.45">
      <c r="A253" s="21"/>
      <c r="B253" s="29"/>
      <c r="C253" s="25"/>
      <c r="M253"/>
      <c r="N253"/>
      <c r="O253"/>
      <c r="P253"/>
      <c r="Q253"/>
      <c r="R253"/>
      <c r="S253"/>
      <c r="T253"/>
      <c r="U253"/>
      <c r="V253"/>
      <c r="W253"/>
      <c r="X253"/>
      <c r="Y253"/>
    </row>
    <row r="254" spans="1:25" s="3" customFormat="1" x14ac:dyDescent="0.45">
      <c r="A254" s="21"/>
      <c r="B254" s="29"/>
      <c r="C254" s="25"/>
      <c r="M254"/>
      <c r="N254"/>
      <c r="O254"/>
      <c r="P254"/>
      <c r="Q254"/>
      <c r="R254"/>
      <c r="S254"/>
      <c r="T254"/>
      <c r="U254"/>
      <c r="V254"/>
      <c r="W254"/>
      <c r="X254"/>
      <c r="Y254"/>
    </row>
    <row r="255" spans="1:25" s="3" customFormat="1" x14ac:dyDescent="0.45">
      <c r="A255" s="21"/>
      <c r="B255" s="29"/>
      <c r="C255" s="25"/>
      <c r="M255"/>
      <c r="N255"/>
      <c r="O255"/>
      <c r="P255"/>
      <c r="Q255"/>
      <c r="R255"/>
      <c r="S255"/>
      <c r="T255"/>
      <c r="U255"/>
      <c r="V255"/>
      <c r="W255"/>
      <c r="X255"/>
      <c r="Y255"/>
    </row>
    <row r="256" spans="1:25" s="3" customFormat="1" x14ac:dyDescent="0.45">
      <c r="A256" s="21"/>
      <c r="B256" s="29"/>
      <c r="C256" s="25"/>
      <c r="M256"/>
      <c r="N256"/>
      <c r="O256"/>
      <c r="P256"/>
      <c r="Q256"/>
      <c r="R256"/>
      <c r="S256"/>
      <c r="T256"/>
      <c r="U256"/>
      <c r="V256"/>
      <c r="W256"/>
      <c r="X256"/>
      <c r="Y256"/>
    </row>
    <row r="257" spans="1:25" s="3" customFormat="1" x14ac:dyDescent="0.45">
      <c r="A257" s="21"/>
      <c r="B257" s="29"/>
      <c r="C257" s="25"/>
      <c r="M257"/>
      <c r="N257"/>
      <c r="O257"/>
      <c r="P257"/>
      <c r="Q257"/>
      <c r="R257"/>
      <c r="S257"/>
      <c r="T257"/>
      <c r="U257"/>
      <c r="V257"/>
      <c r="W257"/>
      <c r="X257"/>
      <c r="Y257"/>
    </row>
    <row r="258" spans="1:25" s="3" customFormat="1" x14ac:dyDescent="0.45">
      <c r="A258" s="21"/>
      <c r="B258" s="29"/>
      <c r="C258" s="25"/>
      <c r="M258"/>
      <c r="N258"/>
      <c r="O258"/>
      <c r="P258"/>
      <c r="Q258"/>
      <c r="R258"/>
      <c r="S258"/>
      <c r="T258"/>
      <c r="U258"/>
      <c r="V258"/>
      <c r="W258"/>
      <c r="X258"/>
      <c r="Y258"/>
    </row>
    <row r="259" spans="1:25" s="3" customFormat="1" x14ac:dyDescent="0.45">
      <c r="A259" s="21"/>
      <c r="B259" s="29"/>
      <c r="C259" s="25"/>
      <c r="M259"/>
      <c r="N259"/>
      <c r="O259"/>
      <c r="P259"/>
      <c r="Q259"/>
      <c r="R259"/>
      <c r="S259"/>
      <c r="T259"/>
      <c r="U259"/>
      <c r="V259"/>
      <c r="W259"/>
      <c r="X259"/>
      <c r="Y259"/>
    </row>
    <row r="260" spans="1:25" s="3" customFormat="1" x14ac:dyDescent="0.45">
      <c r="A260" s="21"/>
      <c r="B260" s="29"/>
      <c r="C260" s="25"/>
      <c r="M260"/>
      <c r="N260"/>
      <c r="O260"/>
      <c r="P260"/>
      <c r="Q260"/>
      <c r="R260"/>
      <c r="S260"/>
      <c r="T260"/>
      <c r="U260"/>
      <c r="V260"/>
      <c r="W260"/>
      <c r="X260"/>
      <c r="Y260"/>
    </row>
    <row r="261" spans="1:25" s="3" customFormat="1" x14ac:dyDescent="0.45">
      <c r="A261" s="21"/>
      <c r="B261" s="29"/>
      <c r="C261" s="25"/>
      <c r="M261"/>
      <c r="N261"/>
      <c r="O261"/>
      <c r="P261"/>
      <c r="Q261"/>
      <c r="R261"/>
      <c r="S261"/>
      <c r="T261"/>
      <c r="U261"/>
      <c r="V261"/>
      <c r="W261"/>
      <c r="X261"/>
      <c r="Y261"/>
    </row>
    <row r="262" spans="1:25" s="3" customFormat="1" x14ac:dyDescent="0.45">
      <c r="A262" s="21"/>
      <c r="B262" s="29"/>
      <c r="C262" s="25"/>
      <c r="M262"/>
      <c r="N262"/>
      <c r="O262"/>
      <c r="P262"/>
      <c r="Q262"/>
      <c r="R262"/>
      <c r="S262"/>
      <c r="T262"/>
      <c r="U262"/>
      <c r="V262"/>
      <c r="W262"/>
      <c r="X262"/>
      <c r="Y262"/>
    </row>
    <row r="263" spans="1:25" s="3" customFormat="1" x14ac:dyDescent="0.45">
      <c r="A263" s="21"/>
      <c r="B263" s="29"/>
      <c r="C263" s="25"/>
      <c r="M263"/>
      <c r="N263"/>
      <c r="O263"/>
      <c r="P263"/>
      <c r="Q263"/>
      <c r="R263"/>
      <c r="S263"/>
      <c r="T263"/>
      <c r="U263"/>
      <c r="V263"/>
      <c r="W263"/>
      <c r="X263"/>
      <c r="Y263"/>
    </row>
    <row r="264" spans="1:25" s="3" customFormat="1" x14ac:dyDescent="0.45">
      <c r="A264" s="21"/>
      <c r="B264" s="29"/>
      <c r="C264" s="25"/>
      <c r="M264"/>
      <c r="N264"/>
      <c r="O264"/>
      <c r="P264"/>
      <c r="Q264"/>
      <c r="R264"/>
      <c r="S264"/>
      <c r="T264"/>
      <c r="U264"/>
      <c r="V264"/>
      <c r="W264"/>
      <c r="X264"/>
      <c r="Y264"/>
    </row>
    <row r="265" spans="1:25" s="3" customFormat="1" x14ac:dyDescent="0.45">
      <c r="A265" s="21"/>
      <c r="B265" s="29"/>
      <c r="C265" s="25"/>
      <c r="M265"/>
      <c r="N265"/>
      <c r="O265"/>
      <c r="P265"/>
      <c r="Q265"/>
      <c r="R265"/>
      <c r="S265"/>
      <c r="T265"/>
      <c r="U265"/>
      <c r="V265"/>
      <c r="W265"/>
      <c r="X265"/>
      <c r="Y265"/>
    </row>
    <row r="266" spans="1:25" s="3" customFormat="1" x14ac:dyDescent="0.45">
      <c r="A266" s="21"/>
      <c r="B266" s="29"/>
      <c r="C266" s="25"/>
      <c r="M266"/>
      <c r="N266"/>
      <c r="O266"/>
      <c r="P266"/>
      <c r="Q266"/>
      <c r="R266"/>
      <c r="S266"/>
      <c r="T266"/>
      <c r="U266"/>
      <c r="V266"/>
      <c r="W266"/>
      <c r="X266"/>
      <c r="Y266"/>
    </row>
    <row r="267" spans="1:25" s="3" customFormat="1" x14ac:dyDescent="0.45">
      <c r="A267" s="21"/>
      <c r="B267" s="29"/>
      <c r="C267" s="25"/>
      <c r="M267"/>
      <c r="N267"/>
      <c r="O267"/>
      <c r="P267"/>
      <c r="Q267"/>
      <c r="R267"/>
      <c r="S267"/>
      <c r="T267"/>
      <c r="U267"/>
      <c r="V267"/>
      <c r="W267"/>
      <c r="X267"/>
      <c r="Y267"/>
    </row>
    <row r="268" spans="1:25" s="3" customFormat="1" x14ac:dyDescent="0.45">
      <c r="A268" s="21"/>
      <c r="B268" s="29"/>
      <c r="C268" s="25"/>
      <c r="M268"/>
      <c r="N268"/>
      <c r="O268"/>
      <c r="P268"/>
      <c r="Q268"/>
      <c r="R268"/>
      <c r="S268"/>
      <c r="T268"/>
      <c r="U268"/>
      <c r="V268"/>
      <c r="W268"/>
      <c r="X268"/>
      <c r="Y268"/>
    </row>
    <row r="269" spans="1:25" s="3" customFormat="1" x14ac:dyDescent="0.45">
      <c r="A269" s="21"/>
      <c r="B269" s="29"/>
      <c r="C269" s="25"/>
      <c r="M269"/>
      <c r="N269"/>
      <c r="O269"/>
      <c r="P269"/>
      <c r="Q269"/>
      <c r="R269"/>
      <c r="S269"/>
      <c r="T269"/>
      <c r="U269"/>
      <c r="V269"/>
      <c r="W269"/>
      <c r="X269"/>
      <c r="Y269"/>
    </row>
    <row r="270" spans="1:25" s="3" customFormat="1" x14ac:dyDescent="0.45">
      <c r="A270" s="21"/>
      <c r="B270" s="29"/>
      <c r="C270" s="25"/>
      <c r="M270"/>
      <c r="N270"/>
      <c r="O270"/>
      <c r="P270"/>
      <c r="Q270"/>
      <c r="R270"/>
      <c r="S270"/>
      <c r="T270"/>
      <c r="U270"/>
      <c r="V270"/>
      <c r="W270"/>
      <c r="X270"/>
      <c r="Y270"/>
    </row>
    <row r="271" spans="1:25" s="3" customFormat="1" x14ac:dyDescent="0.45">
      <c r="A271" s="21"/>
      <c r="B271" s="29"/>
      <c r="C271" s="25"/>
      <c r="M271"/>
      <c r="N271"/>
      <c r="O271"/>
      <c r="P271"/>
      <c r="Q271"/>
      <c r="R271"/>
      <c r="S271"/>
      <c r="T271"/>
      <c r="U271"/>
      <c r="V271"/>
      <c r="W271"/>
      <c r="X271"/>
      <c r="Y271"/>
    </row>
    <row r="272" spans="1:25" s="3" customFormat="1" x14ac:dyDescent="0.45">
      <c r="A272" s="21"/>
      <c r="B272" s="29"/>
      <c r="C272" s="25"/>
      <c r="M272"/>
      <c r="N272"/>
      <c r="O272"/>
      <c r="P272"/>
      <c r="Q272"/>
      <c r="R272"/>
      <c r="S272"/>
      <c r="T272"/>
      <c r="U272"/>
      <c r="V272"/>
      <c r="W272"/>
      <c r="X272"/>
      <c r="Y272"/>
    </row>
    <row r="273" spans="1:25" s="3" customFormat="1" x14ac:dyDescent="0.45">
      <c r="A273" s="21"/>
      <c r="B273" s="29"/>
      <c r="C273" s="25"/>
      <c r="M273"/>
      <c r="N273"/>
      <c r="O273"/>
      <c r="P273"/>
      <c r="Q273"/>
      <c r="R273"/>
      <c r="S273"/>
      <c r="T273"/>
      <c r="U273"/>
      <c r="V273"/>
      <c r="W273"/>
      <c r="X273"/>
      <c r="Y273"/>
    </row>
    <row r="274" spans="1:25" s="3" customFormat="1" x14ac:dyDescent="0.45">
      <c r="A274" s="21"/>
      <c r="B274" s="29"/>
      <c r="C274" s="25"/>
      <c r="M274"/>
      <c r="N274"/>
      <c r="O274"/>
      <c r="P274"/>
      <c r="Q274"/>
      <c r="R274"/>
      <c r="S274"/>
      <c r="T274"/>
      <c r="U274"/>
      <c r="V274"/>
      <c r="W274"/>
      <c r="X274"/>
      <c r="Y274"/>
    </row>
    <row r="275" spans="1:25" s="3" customFormat="1" x14ac:dyDescent="0.45">
      <c r="A275" s="21"/>
      <c r="B275" s="29"/>
      <c r="C275" s="25"/>
      <c r="M275"/>
      <c r="N275"/>
      <c r="O275"/>
      <c r="P275"/>
      <c r="Q275"/>
      <c r="R275"/>
      <c r="S275"/>
      <c r="T275"/>
      <c r="U275"/>
      <c r="V275"/>
      <c r="W275"/>
      <c r="X275"/>
      <c r="Y275"/>
    </row>
    <row r="276" spans="1:25" s="3" customFormat="1" x14ac:dyDescent="0.45">
      <c r="A276" s="21"/>
      <c r="B276" s="29"/>
      <c r="C276" s="25"/>
      <c r="M276"/>
      <c r="N276"/>
      <c r="O276"/>
      <c r="P276"/>
      <c r="Q276"/>
      <c r="R276"/>
      <c r="S276"/>
      <c r="T276"/>
      <c r="U276"/>
      <c r="V276"/>
      <c r="W276"/>
      <c r="X276"/>
      <c r="Y276"/>
    </row>
    <row r="277" spans="1:25" s="3" customFormat="1" x14ac:dyDescent="0.45">
      <c r="A277" s="21"/>
      <c r="B277" s="29"/>
      <c r="C277" s="25"/>
      <c r="M277"/>
      <c r="N277"/>
      <c r="O277"/>
      <c r="P277"/>
      <c r="Q277"/>
      <c r="R277"/>
      <c r="S277"/>
      <c r="T277"/>
      <c r="U277"/>
      <c r="V277"/>
      <c r="W277"/>
      <c r="X277"/>
      <c r="Y277"/>
    </row>
    <row r="278" spans="1:25" s="3" customFormat="1" x14ac:dyDescent="0.45">
      <c r="A278" s="21"/>
      <c r="B278" s="29"/>
      <c r="C278" s="25"/>
      <c r="M278"/>
      <c r="N278"/>
      <c r="O278"/>
      <c r="P278"/>
      <c r="Q278"/>
      <c r="R278"/>
      <c r="S278"/>
      <c r="T278"/>
      <c r="U278"/>
      <c r="V278"/>
      <c r="W278"/>
      <c r="X278"/>
      <c r="Y278"/>
    </row>
    <row r="279" spans="1:25" s="3" customFormat="1" x14ac:dyDescent="0.45">
      <c r="A279" s="21"/>
      <c r="B279" s="29"/>
      <c r="C279" s="25"/>
      <c r="M279"/>
      <c r="N279"/>
      <c r="O279"/>
      <c r="P279"/>
      <c r="Q279"/>
      <c r="R279"/>
      <c r="S279"/>
      <c r="T279"/>
      <c r="U279"/>
      <c r="V279"/>
      <c r="W279"/>
      <c r="X279"/>
      <c r="Y279"/>
    </row>
    <row r="280" spans="1:25" s="3" customFormat="1" x14ac:dyDescent="0.45">
      <c r="A280" s="21"/>
      <c r="B280" s="29"/>
      <c r="C280" s="25"/>
      <c r="M280"/>
      <c r="N280"/>
      <c r="O280"/>
      <c r="P280"/>
      <c r="Q280"/>
      <c r="R280"/>
      <c r="S280"/>
      <c r="T280"/>
      <c r="U280"/>
      <c r="V280"/>
      <c r="W280"/>
      <c r="X280"/>
      <c r="Y280"/>
    </row>
    <row r="281" spans="1:25" s="3" customFormat="1" x14ac:dyDescent="0.45">
      <c r="A281" s="21"/>
      <c r="B281" s="29"/>
      <c r="C281" s="25"/>
      <c r="M281"/>
      <c r="N281"/>
      <c r="O281"/>
      <c r="P281"/>
      <c r="Q281"/>
      <c r="R281"/>
      <c r="S281"/>
      <c r="T281"/>
      <c r="U281"/>
      <c r="V281"/>
      <c r="W281"/>
      <c r="X281"/>
      <c r="Y281"/>
    </row>
    <row r="282" spans="1:25" s="3" customFormat="1" x14ac:dyDescent="0.45">
      <c r="A282" s="21"/>
      <c r="B282" s="29"/>
      <c r="C282" s="25"/>
      <c r="M282"/>
      <c r="N282"/>
      <c r="O282"/>
      <c r="P282"/>
      <c r="Q282"/>
      <c r="R282"/>
      <c r="S282"/>
      <c r="T282"/>
      <c r="U282"/>
      <c r="V282"/>
      <c r="W282"/>
      <c r="X282"/>
      <c r="Y282"/>
    </row>
    <row r="283" spans="1:25" s="3" customFormat="1" x14ac:dyDescent="0.45">
      <c r="A283" s="21"/>
      <c r="B283" s="29"/>
      <c r="C283" s="25"/>
      <c r="M283"/>
      <c r="N283"/>
      <c r="O283"/>
      <c r="P283"/>
      <c r="Q283"/>
      <c r="R283"/>
      <c r="S283"/>
      <c r="T283"/>
      <c r="U283"/>
      <c r="V283"/>
      <c r="W283"/>
      <c r="X283"/>
      <c r="Y283"/>
    </row>
    <row r="284" spans="1:25" s="3" customFormat="1" x14ac:dyDescent="0.45">
      <c r="A284" s="21"/>
      <c r="B284" s="29"/>
      <c r="C284" s="25"/>
      <c r="M284"/>
      <c r="N284"/>
      <c r="O284"/>
      <c r="P284"/>
      <c r="Q284"/>
      <c r="R284"/>
      <c r="S284"/>
      <c r="T284"/>
      <c r="U284"/>
      <c r="V284"/>
      <c r="W284"/>
      <c r="X284"/>
      <c r="Y284"/>
    </row>
    <row r="285" spans="1:25" s="3" customFormat="1" x14ac:dyDescent="0.45">
      <c r="A285" s="21"/>
      <c r="B285" s="29"/>
      <c r="C285" s="25"/>
      <c r="M285"/>
      <c r="N285"/>
      <c r="O285"/>
      <c r="P285"/>
      <c r="Q285"/>
      <c r="R285"/>
      <c r="S285"/>
      <c r="T285"/>
      <c r="U285"/>
      <c r="V285"/>
      <c r="W285"/>
      <c r="X285"/>
      <c r="Y285"/>
    </row>
    <row r="286" spans="1:25" s="3" customFormat="1" x14ac:dyDescent="0.45">
      <c r="A286" s="21"/>
      <c r="B286" s="29"/>
      <c r="C286" s="25"/>
      <c r="M286"/>
      <c r="N286"/>
      <c r="O286"/>
      <c r="P286"/>
      <c r="Q286"/>
      <c r="R286"/>
      <c r="S286"/>
      <c r="T286"/>
      <c r="U286"/>
      <c r="V286"/>
      <c r="W286"/>
      <c r="X286"/>
      <c r="Y286"/>
    </row>
    <row r="287" spans="1:25" s="3" customFormat="1" x14ac:dyDescent="0.45">
      <c r="A287" s="21"/>
      <c r="B287" s="29"/>
      <c r="C287" s="25"/>
      <c r="M287"/>
      <c r="N287"/>
      <c r="O287"/>
      <c r="P287"/>
      <c r="Q287"/>
      <c r="R287"/>
      <c r="S287"/>
      <c r="T287"/>
      <c r="U287"/>
      <c r="V287"/>
      <c r="W287"/>
      <c r="X287"/>
      <c r="Y287"/>
    </row>
    <row r="288" spans="1:25" s="3" customFormat="1" x14ac:dyDescent="0.45">
      <c r="A288" s="21"/>
      <c r="B288" s="29"/>
      <c r="C288" s="25"/>
      <c r="M288"/>
      <c r="N288"/>
      <c r="O288"/>
      <c r="P288"/>
      <c r="Q288"/>
      <c r="R288"/>
      <c r="S288"/>
      <c r="T288"/>
      <c r="U288"/>
      <c r="V288"/>
      <c r="W288"/>
      <c r="X288"/>
      <c r="Y288"/>
    </row>
    <row r="289" spans="1:25" s="3" customFormat="1" x14ac:dyDescent="0.45">
      <c r="A289" s="21"/>
      <c r="B289" s="29"/>
      <c r="C289" s="25"/>
      <c r="M289"/>
      <c r="N289"/>
      <c r="O289"/>
      <c r="P289"/>
      <c r="Q289"/>
      <c r="R289"/>
      <c r="S289"/>
      <c r="T289"/>
      <c r="U289"/>
      <c r="V289"/>
      <c r="W289"/>
      <c r="X289"/>
      <c r="Y289"/>
    </row>
    <row r="290" spans="1:25" s="3" customFormat="1" x14ac:dyDescent="0.45">
      <c r="A290" s="21"/>
      <c r="B290" s="29"/>
      <c r="C290" s="25"/>
      <c r="M290"/>
      <c r="N290"/>
      <c r="O290"/>
      <c r="P290"/>
      <c r="Q290"/>
      <c r="R290"/>
      <c r="S290"/>
      <c r="T290"/>
      <c r="U290"/>
      <c r="V290"/>
      <c r="W290"/>
      <c r="X290"/>
      <c r="Y290"/>
    </row>
    <row r="291" spans="1:25" s="3" customFormat="1" x14ac:dyDescent="0.45">
      <c r="A291" s="21"/>
      <c r="B291" s="29"/>
      <c r="C291" s="25"/>
      <c r="M291"/>
      <c r="N291"/>
      <c r="O291"/>
      <c r="P291"/>
      <c r="Q291"/>
      <c r="R291"/>
      <c r="S291"/>
      <c r="T291"/>
      <c r="U291"/>
      <c r="V291"/>
      <c r="W291"/>
      <c r="X291"/>
      <c r="Y291"/>
    </row>
    <row r="292" spans="1:25" s="3" customFormat="1" x14ac:dyDescent="0.45">
      <c r="A292" s="21"/>
      <c r="B292" s="29"/>
      <c r="C292" s="25"/>
      <c r="M292"/>
      <c r="N292"/>
      <c r="O292"/>
      <c r="P292"/>
      <c r="Q292"/>
      <c r="R292"/>
      <c r="S292"/>
      <c r="T292"/>
      <c r="U292"/>
      <c r="V292"/>
      <c r="W292"/>
      <c r="X292"/>
      <c r="Y292"/>
    </row>
    <row r="293" spans="1:25" s="3" customFormat="1" x14ac:dyDescent="0.45">
      <c r="A293" s="21"/>
      <c r="B293" s="29"/>
      <c r="C293" s="25"/>
      <c r="M293"/>
      <c r="N293"/>
      <c r="O293"/>
      <c r="P293"/>
      <c r="Q293"/>
      <c r="R293"/>
      <c r="S293"/>
      <c r="T293"/>
      <c r="U293"/>
      <c r="V293"/>
      <c r="W293"/>
      <c r="X293"/>
      <c r="Y293"/>
    </row>
    <row r="294" spans="1:25" s="3" customFormat="1" x14ac:dyDescent="0.45">
      <c r="A294" s="21"/>
      <c r="B294" s="29"/>
      <c r="C294" s="25"/>
      <c r="M294"/>
      <c r="N294"/>
      <c r="O294"/>
      <c r="P294"/>
      <c r="Q294"/>
      <c r="R294"/>
      <c r="S294"/>
      <c r="T294"/>
      <c r="U294"/>
      <c r="V294"/>
      <c r="W294"/>
      <c r="X294"/>
      <c r="Y294"/>
    </row>
    <row r="295" spans="1:25" s="3" customFormat="1" x14ac:dyDescent="0.45">
      <c r="A295" s="21"/>
      <c r="B295" s="29"/>
      <c r="C295" s="25"/>
      <c r="M295"/>
      <c r="N295"/>
      <c r="O295"/>
      <c r="P295"/>
      <c r="Q295"/>
      <c r="R295"/>
      <c r="S295"/>
      <c r="T295"/>
      <c r="U295"/>
      <c r="V295"/>
      <c r="W295"/>
      <c r="X295"/>
      <c r="Y295"/>
    </row>
    <row r="296" spans="1:25" s="3" customFormat="1" x14ac:dyDescent="0.45">
      <c r="A296" s="21"/>
      <c r="B296" s="29"/>
      <c r="C296" s="25"/>
      <c r="M296"/>
      <c r="N296"/>
      <c r="O296"/>
      <c r="P296"/>
      <c r="Q296"/>
      <c r="R296"/>
      <c r="S296"/>
      <c r="T296"/>
      <c r="U296"/>
      <c r="V296"/>
      <c r="W296"/>
      <c r="X296"/>
      <c r="Y296"/>
    </row>
    <row r="297" spans="1:25" s="3" customFormat="1" x14ac:dyDescent="0.45">
      <c r="A297" s="21"/>
      <c r="B297" s="29"/>
      <c r="C297" s="25"/>
      <c r="M297"/>
      <c r="N297"/>
      <c r="O297"/>
      <c r="P297"/>
      <c r="Q297"/>
      <c r="R297"/>
      <c r="S297"/>
      <c r="T297"/>
      <c r="U297"/>
      <c r="V297"/>
      <c r="W297"/>
      <c r="X297"/>
      <c r="Y297"/>
    </row>
    <row r="298" spans="1:25" s="3" customFormat="1" x14ac:dyDescent="0.45">
      <c r="A298" s="21"/>
      <c r="B298" s="29"/>
      <c r="C298" s="25"/>
      <c r="M298"/>
      <c r="N298"/>
      <c r="O298"/>
      <c r="P298"/>
      <c r="Q298"/>
      <c r="R298"/>
      <c r="S298"/>
      <c r="T298"/>
      <c r="U298"/>
      <c r="V298"/>
      <c r="W298"/>
      <c r="X298"/>
      <c r="Y298"/>
    </row>
    <row r="299" spans="1:25" s="3" customFormat="1" x14ac:dyDescent="0.45">
      <c r="A299" s="21"/>
      <c r="B299" s="29"/>
      <c r="C299" s="25"/>
      <c r="M299"/>
      <c r="N299"/>
      <c r="O299"/>
      <c r="P299"/>
      <c r="Q299"/>
      <c r="R299"/>
      <c r="S299"/>
      <c r="T299"/>
      <c r="U299"/>
      <c r="V299"/>
      <c r="W299"/>
      <c r="X299"/>
      <c r="Y299"/>
    </row>
    <row r="300" spans="1:25" s="3" customFormat="1" x14ac:dyDescent="0.45">
      <c r="A300" s="21"/>
      <c r="B300" s="29"/>
      <c r="C300" s="25"/>
      <c r="M300"/>
      <c r="N300"/>
      <c r="O300"/>
      <c r="P300"/>
      <c r="Q300"/>
      <c r="R300"/>
      <c r="S300"/>
      <c r="T300"/>
      <c r="U300"/>
      <c r="V300"/>
      <c r="W300"/>
      <c r="X300"/>
      <c r="Y300"/>
    </row>
    <row r="301" spans="1:25" s="3" customFormat="1" x14ac:dyDescent="0.45">
      <c r="A301" s="21"/>
      <c r="B301" s="29"/>
      <c r="C301" s="25"/>
      <c r="M301"/>
      <c r="N301"/>
      <c r="O301"/>
      <c r="P301"/>
      <c r="Q301"/>
      <c r="R301"/>
      <c r="S301"/>
      <c r="T301"/>
      <c r="U301"/>
      <c r="V301"/>
      <c r="W301"/>
      <c r="X301"/>
      <c r="Y301"/>
    </row>
    <row r="302" spans="1:25" s="3" customFormat="1" x14ac:dyDescent="0.45">
      <c r="A302" s="21"/>
      <c r="B302" s="29"/>
      <c r="C302" s="25"/>
      <c r="M302"/>
      <c r="N302"/>
      <c r="O302"/>
      <c r="P302"/>
      <c r="Q302"/>
      <c r="R302"/>
      <c r="S302"/>
      <c r="T302"/>
      <c r="U302"/>
      <c r="V302"/>
      <c r="W302"/>
      <c r="X302"/>
      <c r="Y302"/>
    </row>
    <row r="303" spans="1:25" s="3" customFormat="1" x14ac:dyDescent="0.45">
      <c r="A303" s="21"/>
      <c r="B303" s="29"/>
      <c r="C303" s="25"/>
      <c r="M303"/>
      <c r="N303"/>
      <c r="O303"/>
      <c r="P303"/>
      <c r="Q303"/>
      <c r="R303"/>
      <c r="S303"/>
      <c r="T303"/>
      <c r="U303"/>
      <c r="V303"/>
      <c r="W303"/>
      <c r="X303"/>
      <c r="Y303"/>
    </row>
    <row r="304" spans="1:25" s="3" customFormat="1" x14ac:dyDescent="0.45">
      <c r="A304" s="21"/>
      <c r="B304" s="29"/>
      <c r="C304" s="25"/>
      <c r="M304"/>
      <c r="N304"/>
      <c r="O304"/>
      <c r="P304"/>
      <c r="Q304"/>
      <c r="R304"/>
      <c r="S304"/>
      <c r="T304"/>
      <c r="U304"/>
      <c r="V304"/>
      <c r="W304"/>
      <c r="X304"/>
      <c r="Y304"/>
    </row>
    <row r="305" spans="1:25" s="3" customFormat="1" x14ac:dyDescent="0.45">
      <c r="A305" s="21"/>
      <c r="B305" s="29"/>
      <c r="C305" s="25"/>
      <c r="M305"/>
      <c r="N305"/>
      <c r="O305"/>
      <c r="P305"/>
      <c r="Q305"/>
      <c r="R305"/>
      <c r="S305"/>
      <c r="T305"/>
      <c r="U305"/>
      <c r="V305"/>
      <c r="W305"/>
      <c r="X305"/>
      <c r="Y305"/>
    </row>
    <row r="306" spans="1:25" s="3" customFormat="1" x14ac:dyDescent="0.45">
      <c r="A306" s="21"/>
      <c r="B306" s="29"/>
      <c r="C306" s="25"/>
      <c r="M306"/>
      <c r="N306"/>
      <c r="O306"/>
      <c r="P306"/>
      <c r="Q306"/>
      <c r="R306"/>
      <c r="S306"/>
      <c r="T306"/>
      <c r="U306"/>
      <c r="V306"/>
      <c r="W306"/>
      <c r="X306"/>
      <c r="Y306"/>
    </row>
    <row r="307" spans="1:25" s="3" customFormat="1" x14ac:dyDescent="0.45">
      <c r="A307" s="21"/>
      <c r="B307" s="29"/>
      <c r="C307" s="25"/>
      <c r="M307"/>
      <c r="N307"/>
      <c r="O307"/>
      <c r="P307"/>
      <c r="Q307"/>
      <c r="R307"/>
      <c r="S307"/>
      <c r="T307"/>
      <c r="U307"/>
      <c r="V307"/>
      <c r="W307"/>
      <c r="X307"/>
      <c r="Y307"/>
    </row>
    <row r="308" spans="1:25" s="3" customFormat="1" x14ac:dyDescent="0.45">
      <c r="A308" s="21"/>
      <c r="B308" s="29"/>
      <c r="C308" s="25"/>
      <c r="M308"/>
      <c r="N308"/>
      <c r="O308"/>
      <c r="P308"/>
      <c r="Q308"/>
      <c r="R308"/>
      <c r="S308"/>
      <c r="T308"/>
      <c r="U308"/>
      <c r="V308"/>
      <c r="W308"/>
      <c r="X308"/>
      <c r="Y308"/>
    </row>
    <row r="309" spans="1:25" s="3" customFormat="1" x14ac:dyDescent="0.45">
      <c r="A309" s="21"/>
      <c r="B309" s="29"/>
      <c r="C309" s="25"/>
      <c r="M309"/>
      <c r="N309"/>
      <c r="O309"/>
      <c r="P309"/>
      <c r="Q309"/>
      <c r="R309"/>
      <c r="S309"/>
      <c r="T309"/>
      <c r="U309"/>
      <c r="V309"/>
      <c r="W309"/>
      <c r="X309"/>
      <c r="Y309"/>
    </row>
    <row r="310" spans="1:25" s="3" customFormat="1" x14ac:dyDescent="0.45">
      <c r="A310" s="21"/>
      <c r="B310" s="29"/>
      <c r="C310" s="25"/>
      <c r="M310"/>
      <c r="N310"/>
      <c r="O310"/>
      <c r="P310"/>
      <c r="Q310"/>
      <c r="R310"/>
      <c r="S310"/>
      <c r="T310"/>
      <c r="U310"/>
      <c r="V310"/>
      <c r="W310"/>
      <c r="X310"/>
      <c r="Y310"/>
    </row>
    <row r="311" spans="1:25" s="3" customFormat="1" x14ac:dyDescent="0.45">
      <c r="A311" s="21"/>
      <c r="B311" s="29"/>
      <c r="C311" s="25"/>
      <c r="M311"/>
      <c r="N311"/>
      <c r="O311"/>
      <c r="P311"/>
      <c r="Q311"/>
      <c r="R311"/>
      <c r="S311"/>
      <c r="T311"/>
      <c r="U311"/>
      <c r="V311"/>
      <c r="W311"/>
      <c r="X311"/>
      <c r="Y311"/>
    </row>
    <row r="312" spans="1:25" s="3" customFormat="1" x14ac:dyDescent="0.45">
      <c r="A312" s="21"/>
      <c r="B312" s="29"/>
      <c r="C312" s="25"/>
      <c r="M312"/>
      <c r="N312"/>
      <c r="O312"/>
      <c r="P312"/>
      <c r="Q312"/>
      <c r="R312"/>
      <c r="S312"/>
      <c r="T312"/>
      <c r="U312"/>
      <c r="V312"/>
      <c r="W312"/>
      <c r="X312"/>
      <c r="Y312"/>
    </row>
    <row r="313" spans="1:25" s="3" customFormat="1" x14ac:dyDescent="0.45">
      <c r="A313" s="21"/>
      <c r="B313" s="29"/>
      <c r="C313" s="25"/>
      <c r="M313"/>
      <c r="N313"/>
      <c r="O313"/>
      <c r="P313"/>
      <c r="Q313"/>
      <c r="R313"/>
      <c r="S313"/>
      <c r="T313"/>
      <c r="U313"/>
      <c r="V313"/>
      <c r="W313"/>
      <c r="X313"/>
      <c r="Y313"/>
    </row>
    <row r="314" spans="1:25" s="3" customFormat="1" x14ac:dyDescent="0.45">
      <c r="A314" s="21"/>
      <c r="B314" s="29"/>
      <c r="C314" s="25"/>
      <c r="M314"/>
      <c r="N314"/>
      <c r="O314"/>
      <c r="P314"/>
      <c r="Q314"/>
      <c r="R314"/>
      <c r="S314"/>
      <c r="T314"/>
      <c r="U314"/>
      <c r="V314"/>
      <c r="W314"/>
      <c r="X314"/>
      <c r="Y314"/>
    </row>
    <row r="315" spans="1:25" s="3" customFormat="1" x14ac:dyDescent="0.45">
      <c r="A315" s="21"/>
      <c r="B315" s="29"/>
      <c r="C315" s="25"/>
      <c r="M315"/>
      <c r="N315"/>
      <c r="O315"/>
      <c r="P315"/>
      <c r="Q315"/>
      <c r="R315"/>
      <c r="S315"/>
      <c r="T315"/>
      <c r="U315"/>
      <c r="V315"/>
      <c r="W315"/>
      <c r="X315"/>
      <c r="Y315"/>
    </row>
    <row r="316" spans="1:25" s="3" customFormat="1" x14ac:dyDescent="0.45">
      <c r="A316" s="21"/>
      <c r="B316" s="29"/>
      <c r="C316" s="25"/>
      <c r="M316"/>
      <c r="N316"/>
      <c r="O316"/>
      <c r="P316"/>
      <c r="Q316"/>
      <c r="R316"/>
      <c r="S316"/>
      <c r="T316"/>
      <c r="U316"/>
      <c r="V316"/>
      <c r="W316"/>
      <c r="X316"/>
      <c r="Y316"/>
    </row>
    <row r="317" spans="1:25" s="3" customFormat="1" x14ac:dyDescent="0.45">
      <c r="A317" s="21"/>
      <c r="B317" s="29"/>
      <c r="C317" s="25"/>
      <c r="M317"/>
      <c r="N317"/>
      <c r="O317"/>
      <c r="P317"/>
      <c r="Q317"/>
      <c r="R317"/>
      <c r="S317"/>
      <c r="T317"/>
      <c r="U317"/>
      <c r="V317"/>
      <c r="W317"/>
      <c r="X317"/>
      <c r="Y317"/>
    </row>
    <row r="318" spans="1:25" s="3" customFormat="1" x14ac:dyDescent="0.45">
      <c r="A318" s="21"/>
      <c r="B318" s="29"/>
      <c r="C318" s="25"/>
      <c r="M318"/>
      <c r="N318"/>
      <c r="O318"/>
      <c r="P318"/>
      <c r="Q318"/>
      <c r="R318"/>
      <c r="S318"/>
      <c r="T318"/>
      <c r="U318"/>
      <c r="V318"/>
      <c r="W318"/>
      <c r="X318"/>
      <c r="Y318"/>
    </row>
    <row r="319" spans="1:25" s="3" customFormat="1" x14ac:dyDescent="0.45">
      <c r="A319" s="21"/>
      <c r="B319" s="29"/>
      <c r="C319" s="25"/>
      <c r="M319"/>
      <c r="N319"/>
      <c r="O319"/>
      <c r="P319"/>
      <c r="Q319"/>
      <c r="R319"/>
      <c r="S319"/>
      <c r="T319"/>
      <c r="U319"/>
      <c r="V319"/>
      <c r="W319"/>
      <c r="X319"/>
      <c r="Y319"/>
    </row>
    <row r="320" spans="1:25" s="3" customFormat="1" x14ac:dyDescent="0.45">
      <c r="A320" s="21"/>
      <c r="B320" s="29"/>
      <c r="C320" s="25"/>
      <c r="M320"/>
      <c r="N320"/>
      <c r="O320"/>
      <c r="P320"/>
      <c r="Q320"/>
      <c r="R320"/>
      <c r="S320"/>
      <c r="T320"/>
      <c r="U320"/>
      <c r="V320"/>
      <c r="W320"/>
      <c r="X320"/>
      <c r="Y320"/>
    </row>
    <row r="321" spans="1:25" s="3" customFormat="1" x14ac:dyDescent="0.45">
      <c r="A321" s="21"/>
      <c r="B321" s="29"/>
      <c r="C321" s="25"/>
      <c r="M321"/>
      <c r="N321"/>
      <c r="O321"/>
      <c r="P321"/>
      <c r="Q321"/>
      <c r="R321"/>
      <c r="S321"/>
      <c r="T321"/>
      <c r="U321"/>
      <c r="V321"/>
      <c r="W321"/>
      <c r="X321"/>
      <c r="Y321"/>
    </row>
    <row r="322" spans="1:25" s="3" customFormat="1" x14ac:dyDescent="0.45">
      <c r="A322" s="21"/>
      <c r="B322" s="29"/>
      <c r="C322" s="25"/>
      <c r="M322"/>
      <c r="N322"/>
      <c r="O322"/>
      <c r="P322"/>
      <c r="Q322"/>
      <c r="R322"/>
      <c r="S322"/>
      <c r="T322"/>
      <c r="U322"/>
      <c r="V322"/>
      <c r="W322"/>
      <c r="X322"/>
      <c r="Y322"/>
    </row>
    <row r="323" spans="1:25" s="3" customFormat="1" x14ac:dyDescent="0.45">
      <c r="A323" s="21"/>
      <c r="B323" s="29"/>
      <c r="C323" s="25"/>
      <c r="M323"/>
      <c r="N323"/>
      <c r="O323"/>
      <c r="P323"/>
      <c r="Q323"/>
      <c r="R323"/>
      <c r="S323"/>
      <c r="T323"/>
      <c r="U323"/>
      <c r="V323"/>
      <c r="W323"/>
      <c r="X323"/>
      <c r="Y323"/>
    </row>
    <row r="324" spans="1:25" s="3" customFormat="1" x14ac:dyDescent="0.45">
      <c r="A324" s="21"/>
      <c r="B324" s="29"/>
      <c r="C324" s="25"/>
      <c r="M324"/>
      <c r="N324"/>
      <c r="O324"/>
      <c r="P324"/>
      <c r="Q324"/>
      <c r="R324"/>
      <c r="S324"/>
      <c r="T324"/>
      <c r="U324"/>
      <c r="V324"/>
      <c r="W324"/>
      <c r="X324"/>
      <c r="Y324"/>
    </row>
    <row r="325" spans="1:25" s="3" customFormat="1" x14ac:dyDescent="0.45">
      <c r="A325" s="21"/>
      <c r="B325" s="29"/>
      <c r="C325" s="25"/>
      <c r="M325"/>
      <c r="N325"/>
      <c r="O325"/>
      <c r="P325"/>
      <c r="Q325"/>
      <c r="R325"/>
      <c r="S325"/>
      <c r="T325"/>
      <c r="U325"/>
      <c r="V325"/>
      <c r="W325"/>
      <c r="X325"/>
      <c r="Y325"/>
    </row>
    <row r="326" spans="1:25" s="3" customFormat="1" x14ac:dyDescent="0.45">
      <c r="A326" s="21"/>
      <c r="B326" s="29"/>
      <c r="C326" s="25"/>
      <c r="M326"/>
      <c r="N326"/>
      <c r="O326"/>
      <c r="P326"/>
      <c r="Q326"/>
      <c r="R326"/>
      <c r="S326"/>
      <c r="T326"/>
      <c r="U326"/>
      <c r="V326"/>
      <c r="W326"/>
      <c r="X326"/>
      <c r="Y326"/>
    </row>
    <row r="327" spans="1:25" s="3" customFormat="1" x14ac:dyDescent="0.45">
      <c r="A327" s="21"/>
      <c r="B327" s="29"/>
      <c r="C327" s="25"/>
      <c r="M327"/>
      <c r="N327"/>
      <c r="O327"/>
      <c r="P327"/>
      <c r="Q327"/>
      <c r="R327"/>
      <c r="S327"/>
      <c r="T327"/>
      <c r="U327"/>
      <c r="V327"/>
      <c r="W327"/>
      <c r="X327"/>
      <c r="Y327"/>
    </row>
    <row r="328" spans="1:25" s="3" customFormat="1" x14ac:dyDescent="0.45">
      <c r="A328" s="21"/>
      <c r="B328" s="29"/>
      <c r="C328" s="25"/>
      <c r="M328"/>
      <c r="N328"/>
      <c r="O328"/>
      <c r="P328"/>
      <c r="Q328"/>
      <c r="R328"/>
      <c r="S328"/>
      <c r="T328"/>
      <c r="U328"/>
      <c r="V328"/>
      <c r="W328"/>
      <c r="X328"/>
      <c r="Y328"/>
    </row>
    <row r="329" spans="1:25" s="3" customFormat="1" x14ac:dyDescent="0.45">
      <c r="A329" s="21"/>
      <c r="B329" s="29"/>
      <c r="C329" s="25"/>
      <c r="M329"/>
      <c r="N329"/>
      <c r="O329"/>
      <c r="P329"/>
      <c r="Q329"/>
      <c r="R329"/>
      <c r="S329"/>
      <c r="T329"/>
      <c r="U329"/>
      <c r="V329"/>
      <c r="W329"/>
      <c r="X329"/>
      <c r="Y329"/>
    </row>
    <row r="330" spans="1:25" s="3" customFormat="1" x14ac:dyDescent="0.45">
      <c r="A330" s="21"/>
      <c r="B330" s="29"/>
      <c r="C330" s="25"/>
      <c r="M330"/>
      <c r="N330"/>
      <c r="O330"/>
      <c r="P330"/>
      <c r="Q330"/>
      <c r="R330"/>
      <c r="S330"/>
      <c r="T330"/>
      <c r="U330"/>
      <c r="V330"/>
      <c r="W330"/>
      <c r="X330"/>
      <c r="Y330"/>
    </row>
    <row r="331" spans="1:25" s="3" customFormat="1" x14ac:dyDescent="0.45">
      <c r="A331" s="21"/>
      <c r="B331" s="29"/>
      <c r="C331" s="25"/>
      <c r="M331"/>
      <c r="N331"/>
      <c r="O331"/>
      <c r="P331"/>
      <c r="Q331"/>
      <c r="R331"/>
      <c r="S331"/>
      <c r="T331"/>
      <c r="U331"/>
      <c r="V331"/>
      <c r="W331"/>
      <c r="X331"/>
      <c r="Y331"/>
    </row>
    <row r="332" spans="1:25" s="3" customFormat="1" x14ac:dyDescent="0.45">
      <c r="A332" s="21"/>
      <c r="B332" s="29"/>
      <c r="C332" s="25"/>
      <c r="M332"/>
      <c r="N332"/>
      <c r="O332"/>
      <c r="P332"/>
      <c r="Q332"/>
      <c r="R332"/>
      <c r="S332"/>
      <c r="T332"/>
      <c r="U332"/>
      <c r="V332"/>
      <c r="W332"/>
      <c r="X332"/>
      <c r="Y332"/>
    </row>
    <row r="333" spans="1:25" s="3" customFormat="1" x14ac:dyDescent="0.45">
      <c r="A333" s="21"/>
      <c r="B333" s="29"/>
      <c r="C333" s="25"/>
      <c r="M333"/>
      <c r="N333"/>
      <c r="O333"/>
      <c r="P333"/>
      <c r="Q333"/>
      <c r="R333"/>
      <c r="S333"/>
      <c r="T333"/>
      <c r="U333"/>
      <c r="V333"/>
      <c r="W333"/>
      <c r="X333"/>
      <c r="Y333"/>
    </row>
    <row r="334" spans="1:25" s="3" customFormat="1" x14ac:dyDescent="0.45">
      <c r="A334" s="21"/>
      <c r="B334" s="29"/>
      <c r="C334" s="25"/>
      <c r="M334"/>
      <c r="N334"/>
      <c r="O334"/>
      <c r="P334"/>
      <c r="Q334"/>
      <c r="R334"/>
      <c r="S334"/>
      <c r="T334"/>
      <c r="U334"/>
      <c r="V334"/>
      <c r="W334"/>
      <c r="X334"/>
      <c r="Y334"/>
    </row>
    <row r="335" spans="1:25" s="3" customFormat="1" x14ac:dyDescent="0.45">
      <c r="A335" s="21"/>
      <c r="B335" s="29"/>
      <c r="C335" s="25"/>
      <c r="M335"/>
      <c r="N335"/>
      <c r="O335"/>
      <c r="P335"/>
      <c r="Q335"/>
      <c r="R335"/>
      <c r="S335"/>
      <c r="T335"/>
      <c r="U335"/>
      <c r="V335"/>
      <c r="W335"/>
      <c r="X335"/>
      <c r="Y335"/>
    </row>
    <row r="336" spans="1:25" s="3" customFormat="1" x14ac:dyDescent="0.45">
      <c r="A336" s="21"/>
      <c r="B336" s="29"/>
      <c r="C336" s="25"/>
      <c r="M336"/>
      <c r="N336"/>
      <c r="O336"/>
      <c r="P336"/>
      <c r="Q336"/>
      <c r="R336"/>
      <c r="S336"/>
      <c r="T336"/>
      <c r="U336"/>
      <c r="V336"/>
      <c r="W336"/>
      <c r="X336"/>
      <c r="Y336"/>
    </row>
    <row r="337" spans="1:25" s="3" customFormat="1" x14ac:dyDescent="0.45">
      <c r="A337" s="21"/>
      <c r="B337" s="29"/>
      <c r="C337" s="25"/>
      <c r="M337"/>
      <c r="N337"/>
      <c r="O337"/>
      <c r="P337"/>
      <c r="Q337"/>
      <c r="R337"/>
      <c r="S337"/>
      <c r="T337"/>
      <c r="U337"/>
      <c r="V337"/>
      <c r="W337"/>
      <c r="X337"/>
      <c r="Y337"/>
    </row>
    <row r="338" spans="1:25" s="3" customFormat="1" x14ac:dyDescent="0.45">
      <c r="A338" s="21"/>
      <c r="B338" s="29"/>
      <c r="C338" s="25"/>
      <c r="M338"/>
      <c r="N338"/>
      <c r="O338"/>
      <c r="P338"/>
      <c r="Q338"/>
      <c r="R338"/>
      <c r="S338"/>
      <c r="T338"/>
      <c r="U338"/>
      <c r="V338"/>
      <c r="W338"/>
      <c r="X338"/>
      <c r="Y338"/>
    </row>
    <row r="339" spans="1:25" s="3" customFormat="1" x14ac:dyDescent="0.45">
      <c r="A339" s="21"/>
      <c r="B339" s="29"/>
      <c r="C339" s="25"/>
      <c r="M339"/>
      <c r="N339"/>
      <c r="O339"/>
      <c r="P339"/>
      <c r="Q339"/>
      <c r="R339"/>
      <c r="S339"/>
      <c r="T339"/>
      <c r="U339"/>
      <c r="V339"/>
      <c r="W339"/>
      <c r="X339"/>
      <c r="Y339"/>
    </row>
    <row r="340" spans="1:25" s="3" customFormat="1" x14ac:dyDescent="0.45">
      <c r="A340" s="21"/>
      <c r="B340" s="29"/>
      <c r="C340" s="25"/>
      <c r="M340"/>
      <c r="N340"/>
      <c r="O340"/>
      <c r="P340"/>
      <c r="Q340"/>
      <c r="R340"/>
      <c r="S340"/>
      <c r="T340"/>
      <c r="U340"/>
      <c r="V340"/>
      <c r="W340"/>
      <c r="X340"/>
      <c r="Y340"/>
    </row>
    <row r="341" spans="1:25" s="3" customFormat="1" x14ac:dyDescent="0.45">
      <c r="A341" s="21"/>
      <c r="B341" s="29"/>
      <c r="C341" s="25"/>
      <c r="M341"/>
      <c r="N341"/>
      <c r="O341"/>
      <c r="P341"/>
      <c r="Q341"/>
      <c r="R341"/>
      <c r="S341"/>
      <c r="T341"/>
      <c r="U341"/>
      <c r="V341"/>
      <c r="W341"/>
      <c r="X341"/>
      <c r="Y341"/>
    </row>
    <row r="342" spans="1:25" s="3" customFormat="1" x14ac:dyDescent="0.45">
      <c r="A342" s="21"/>
      <c r="B342" s="29"/>
      <c r="C342" s="25"/>
      <c r="M342"/>
      <c r="N342"/>
      <c r="O342"/>
      <c r="P342"/>
      <c r="Q342"/>
      <c r="R342"/>
      <c r="S342"/>
      <c r="T342"/>
      <c r="U342"/>
      <c r="V342"/>
      <c r="W342"/>
      <c r="X342"/>
      <c r="Y342"/>
    </row>
    <row r="343" spans="1:25" s="3" customFormat="1" x14ac:dyDescent="0.45">
      <c r="A343" s="21"/>
      <c r="B343" s="29"/>
      <c r="C343" s="25"/>
      <c r="M343"/>
      <c r="N343"/>
      <c r="O343"/>
      <c r="P343"/>
      <c r="Q343"/>
      <c r="R343"/>
      <c r="S343"/>
      <c r="T343"/>
      <c r="U343"/>
      <c r="V343"/>
      <c r="W343"/>
      <c r="X343"/>
      <c r="Y343"/>
    </row>
    <row r="344" spans="1:25" s="3" customFormat="1" x14ac:dyDescent="0.45">
      <c r="A344" s="21"/>
      <c r="B344" s="29"/>
      <c r="C344" s="25"/>
      <c r="M344"/>
      <c r="N344"/>
      <c r="O344"/>
      <c r="P344"/>
      <c r="Q344"/>
      <c r="R344"/>
      <c r="S344"/>
      <c r="T344"/>
      <c r="U344"/>
      <c r="V344"/>
      <c r="W344"/>
      <c r="X344"/>
      <c r="Y344"/>
    </row>
    <row r="345" spans="1:25" s="3" customFormat="1" x14ac:dyDescent="0.45">
      <c r="A345" s="21"/>
      <c r="B345" s="29"/>
      <c r="C345" s="25"/>
      <c r="M345"/>
      <c r="N345"/>
      <c r="O345"/>
      <c r="P345"/>
      <c r="Q345"/>
      <c r="R345"/>
      <c r="S345"/>
      <c r="T345"/>
      <c r="U345"/>
      <c r="V345"/>
      <c r="W345"/>
      <c r="X345"/>
      <c r="Y345"/>
    </row>
    <row r="346" spans="1:25" s="3" customFormat="1" x14ac:dyDescent="0.45">
      <c r="A346" s="21"/>
      <c r="B346" s="29"/>
      <c r="C346" s="25"/>
      <c r="M346"/>
      <c r="N346"/>
      <c r="O346"/>
      <c r="P346"/>
      <c r="Q346"/>
      <c r="R346"/>
      <c r="S346"/>
      <c r="T346"/>
      <c r="U346"/>
      <c r="V346"/>
      <c r="W346"/>
      <c r="X346"/>
      <c r="Y346"/>
    </row>
    <row r="347" spans="1:25" s="3" customFormat="1" x14ac:dyDescent="0.45">
      <c r="A347" s="21"/>
      <c r="B347" s="29"/>
      <c r="C347" s="25"/>
      <c r="M347"/>
      <c r="N347"/>
      <c r="O347"/>
      <c r="P347"/>
      <c r="Q347"/>
      <c r="R347"/>
      <c r="S347"/>
      <c r="T347"/>
      <c r="U347"/>
      <c r="V347"/>
      <c r="W347"/>
      <c r="X347"/>
      <c r="Y347"/>
    </row>
    <row r="348" spans="1:25" s="3" customFormat="1" x14ac:dyDescent="0.45">
      <c r="A348" s="21"/>
      <c r="B348" s="29"/>
      <c r="C348" s="25"/>
      <c r="M348"/>
      <c r="N348"/>
      <c r="O348"/>
      <c r="P348"/>
      <c r="Q348"/>
      <c r="R348"/>
      <c r="S348"/>
      <c r="T348"/>
      <c r="U348"/>
      <c r="V348"/>
      <c r="W348"/>
      <c r="X348"/>
      <c r="Y348"/>
    </row>
    <row r="349" spans="1:25" s="3" customFormat="1" x14ac:dyDescent="0.45">
      <c r="A349" s="21"/>
      <c r="B349" s="29"/>
      <c r="C349" s="25"/>
      <c r="M349"/>
      <c r="N349"/>
      <c r="O349"/>
      <c r="P349"/>
      <c r="Q349"/>
      <c r="R349"/>
      <c r="S349"/>
      <c r="T349"/>
      <c r="U349"/>
      <c r="V349"/>
      <c r="W349"/>
      <c r="X349"/>
      <c r="Y349"/>
    </row>
    <row r="350" spans="1:25" s="3" customFormat="1" x14ac:dyDescent="0.45">
      <c r="A350" s="21"/>
      <c r="B350" s="29"/>
      <c r="C350" s="25"/>
      <c r="M350"/>
      <c r="N350"/>
      <c r="O350"/>
      <c r="P350"/>
      <c r="Q350"/>
      <c r="R350"/>
      <c r="S350"/>
      <c r="T350"/>
      <c r="U350"/>
      <c r="V350"/>
      <c r="W350"/>
      <c r="X350"/>
      <c r="Y350"/>
    </row>
    <row r="351" spans="1:25" s="3" customFormat="1" x14ac:dyDescent="0.45">
      <c r="A351" s="21"/>
      <c r="B351" s="29"/>
      <c r="C351" s="25"/>
      <c r="M351"/>
      <c r="N351"/>
      <c r="O351"/>
      <c r="P351"/>
      <c r="Q351"/>
      <c r="R351"/>
      <c r="S351"/>
      <c r="T351"/>
      <c r="U351"/>
      <c r="V351"/>
      <c r="W351"/>
      <c r="X351"/>
      <c r="Y351"/>
    </row>
    <row r="352" spans="1:25" s="3" customFormat="1" x14ac:dyDescent="0.45">
      <c r="A352" s="21"/>
      <c r="B352" s="29"/>
      <c r="C352" s="25"/>
      <c r="M352"/>
      <c r="N352"/>
      <c r="O352"/>
      <c r="P352"/>
      <c r="Q352"/>
      <c r="R352"/>
      <c r="S352"/>
      <c r="T352"/>
      <c r="U352"/>
      <c r="V352"/>
      <c r="W352"/>
      <c r="X352"/>
      <c r="Y352"/>
    </row>
    <row r="353" spans="1:25" s="3" customFormat="1" x14ac:dyDescent="0.45">
      <c r="A353" s="21"/>
      <c r="B353" s="29"/>
      <c r="C353" s="25"/>
      <c r="M353"/>
      <c r="N353"/>
      <c r="O353"/>
      <c r="P353"/>
      <c r="Q353"/>
      <c r="R353"/>
      <c r="S353"/>
      <c r="T353"/>
      <c r="U353"/>
      <c r="V353"/>
      <c r="W353"/>
      <c r="X353"/>
      <c r="Y353"/>
    </row>
    <row r="354" spans="1:25" s="3" customFormat="1" x14ac:dyDescent="0.45">
      <c r="A354" s="21"/>
      <c r="B354" s="29"/>
      <c r="C354" s="25"/>
      <c r="M354"/>
      <c r="N354"/>
      <c r="O354"/>
      <c r="P354"/>
      <c r="Q354"/>
      <c r="R354"/>
      <c r="S354"/>
      <c r="T354"/>
      <c r="U354"/>
      <c r="V354"/>
      <c r="W354"/>
      <c r="X354"/>
      <c r="Y354"/>
    </row>
    <row r="355" spans="1:25" s="3" customFormat="1" x14ac:dyDescent="0.45">
      <c r="A355" s="21"/>
      <c r="B355" s="29"/>
      <c r="C355" s="25"/>
      <c r="M355"/>
      <c r="N355"/>
      <c r="O355"/>
      <c r="P355"/>
      <c r="Q355"/>
      <c r="R355"/>
      <c r="S355"/>
      <c r="T355"/>
      <c r="U355"/>
      <c r="V355"/>
      <c r="W355"/>
      <c r="X355"/>
      <c r="Y355"/>
    </row>
    <row r="356" spans="1:25" s="3" customFormat="1" x14ac:dyDescent="0.45">
      <c r="A356" s="21"/>
      <c r="B356" s="29"/>
      <c r="C356" s="25"/>
      <c r="M356"/>
      <c r="N356"/>
      <c r="O356"/>
      <c r="P356"/>
      <c r="Q356"/>
      <c r="R356"/>
      <c r="S356"/>
      <c r="T356"/>
      <c r="U356"/>
      <c r="V356"/>
      <c r="W356"/>
      <c r="X356"/>
      <c r="Y356"/>
    </row>
    <row r="357" spans="1:25" s="3" customFormat="1" x14ac:dyDescent="0.45">
      <c r="A357" s="21"/>
      <c r="B357" s="29"/>
      <c r="C357" s="25"/>
      <c r="M357"/>
      <c r="N357"/>
      <c r="O357"/>
      <c r="P357"/>
      <c r="Q357"/>
      <c r="R357"/>
      <c r="S357"/>
      <c r="T357"/>
      <c r="U357"/>
      <c r="V357"/>
      <c r="W357"/>
      <c r="X357"/>
      <c r="Y357"/>
    </row>
    <row r="358" spans="1:25" s="3" customFormat="1" x14ac:dyDescent="0.45">
      <c r="A358" s="21"/>
      <c r="B358" s="29"/>
      <c r="C358" s="25"/>
      <c r="M358"/>
      <c r="N358"/>
      <c r="O358"/>
      <c r="P358"/>
      <c r="Q358"/>
      <c r="R358"/>
      <c r="S358"/>
      <c r="T358"/>
      <c r="U358"/>
      <c r="V358"/>
      <c r="W358"/>
      <c r="X358"/>
      <c r="Y358"/>
    </row>
    <row r="359" spans="1:25" s="3" customFormat="1" x14ac:dyDescent="0.45">
      <c r="A359" s="21"/>
      <c r="B359" s="29"/>
      <c r="C359" s="25"/>
      <c r="M359"/>
      <c r="N359"/>
      <c r="O359"/>
      <c r="P359"/>
      <c r="Q359"/>
      <c r="R359"/>
      <c r="S359"/>
      <c r="T359"/>
      <c r="U359"/>
      <c r="V359"/>
      <c r="W359"/>
      <c r="X359"/>
      <c r="Y359"/>
    </row>
    <row r="360" spans="1:25" s="3" customFormat="1" x14ac:dyDescent="0.45">
      <c r="A360" s="21"/>
      <c r="B360" s="29"/>
      <c r="C360" s="25"/>
      <c r="M360"/>
      <c r="N360"/>
      <c r="O360"/>
      <c r="P360"/>
      <c r="Q360"/>
      <c r="R360"/>
      <c r="S360"/>
      <c r="T360"/>
      <c r="U360"/>
      <c r="V360"/>
      <c r="W360"/>
      <c r="X360"/>
      <c r="Y360"/>
    </row>
    <row r="361" spans="1:25" s="3" customFormat="1" x14ac:dyDescent="0.45">
      <c r="A361" s="21"/>
      <c r="B361" s="29"/>
      <c r="C361" s="25"/>
      <c r="M361"/>
      <c r="N361"/>
      <c r="O361"/>
      <c r="P361"/>
      <c r="Q361"/>
      <c r="R361"/>
      <c r="S361"/>
      <c r="T361"/>
      <c r="U361"/>
      <c r="V361"/>
      <c r="W361"/>
      <c r="X361"/>
      <c r="Y361"/>
    </row>
    <row r="362" spans="1:25" s="3" customFormat="1" x14ac:dyDescent="0.45">
      <c r="A362" s="21"/>
      <c r="B362" s="29"/>
      <c r="C362" s="25"/>
      <c r="M362"/>
      <c r="N362"/>
      <c r="O362"/>
      <c r="P362"/>
      <c r="Q362"/>
      <c r="R362"/>
      <c r="S362"/>
      <c r="T362"/>
      <c r="U362"/>
      <c r="V362"/>
      <c r="W362"/>
      <c r="X362"/>
      <c r="Y362"/>
    </row>
    <row r="363" spans="1:25" s="3" customFormat="1" x14ac:dyDescent="0.45">
      <c r="A363" s="21"/>
      <c r="B363" s="29"/>
      <c r="C363" s="25"/>
      <c r="M363"/>
      <c r="N363"/>
      <c r="O363"/>
      <c r="P363"/>
      <c r="Q363"/>
      <c r="R363"/>
      <c r="S363"/>
      <c r="T363"/>
      <c r="U363"/>
      <c r="V363"/>
      <c r="W363"/>
      <c r="X363"/>
      <c r="Y363"/>
    </row>
    <row r="364" spans="1:25" s="3" customFormat="1" x14ac:dyDescent="0.45">
      <c r="A364" s="21"/>
      <c r="B364" s="29"/>
      <c r="C364" s="25"/>
      <c r="M364"/>
      <c r="N364"/>
      <c r="O364"/>
      <c r="P364"/>
      <c r="Q364"/>
      <c r="R364"/>
      <c r="S364"/>
      <c r="T364"/>
      <c r="U364"/>
      <c r="V364"/>
      <c r="W364"/>
      <c r="X364"/>
      <c r="Y364"/>
    </row>
    <row r="365" spans="1:25" s="3" customFormat="1" x14ac:dyDescent="0.45">
      <c r="A365" s="21"/>
      <c r="B365" s="29"/>
      <c r="C365" s="25"/>
      <c r="M365"/>
      <c r="N365"/>
      <c r="O365"/>
      <c r="P365"/>
      <c r="Q365"/>
      <c r="R365"/>
      <c r="S365"/>
      <c r="T365"/>
      <c r="U365"/>
      <c r="V365"/>
      <c r="W365"/>
      <c r="X365"/>
      <c r="Y365"/>
    </row>
    <row r="366" spans="1:25" s="3" customFormat="1" x14ac:dyDescent="0.45">
      <c r="A366" s="21"/>
      <c r="B366" s="29"/>
      <c r="C366" s="25"/>
      <c r="M366"/>
      <c r="N366"/>
      <c r="O366"/>
      <c r="P366"/>
      <c r="Q366"/>
      <c r="R366"/>
      <c r="S366"/>
      <c r="T366"/>
      <c r="U366"/>
      <c r="V366"/>
      <c r="W366"/>
      <c r="X366"/>
      <c r="Y366"/>
    </row>
    <row r="367" spans="1:25" s="3" customFormat="1" x14ac:dyDescent="0.45">
      <c r="A367" s="21"/>
      <c r="B367" s="29"/>
      <c r="C367" s="25"/>
      <c r="M367"/>
      <c r="N367"/>
      <c r="O367"/>
      <c r="P367"/>
      <c r="Q367"/>
      <c r="R367"/>
      <c r="S367"/>
      <c r="T367"/>
      <c r="U367"/>
      <c r="V367"/>
      <c r="W367"/>
      <c r="X367"/>
      <c r="Y367"/>
    </row>
    <row r="368" spans="1:25" s="3" customFormat="1" x14ac:dyDescent="0.45">
      <c r="A368" s="21"/>
      <c r="B368" s="29"/>
      <c r="C368" s="25"/>
      <c r="M368"/>
      <c r="N368"/>
      <c r="O368"/>
      <c r="P368"/>
      <c r="Q368"/>
      <c r="R368"/>
      <c r="S368"/>
      <c r="T368"/>
      <c r="U368"/>
      <c r="V368"/>
      <c r="W368"/>
      <c r="X368"/>
      <c r="Y368"/>
    </row>
    <row r="369" spans="1:25" s="3" customFormat="1" x14ac:dyDescent="0.45">
      <c r="A369" s="21"/>
      <c r="B369" s="29"/>
      <c r="C369" s="25"/>
      <c r="M369"/>
      <c r="N369"/>
      <c r="O369"/>
      <c r="P369"/>
      <c r="Q369"/>
      <c r="R369"/>
      <c r="S369"/>
      <c r="T369"/>
      <c r="U369"/>
      <c r="V369"/>
      <c r="W369"/>
      <c r="X369"/>
      <c r="Y369"/>
    </row>
    <row r="370" spans="1:25" s="3" customFormat="1" x14ac:dyDescent="0.45">
      <c r="A370" s="21"/>
      <c r="B370" s="29"/>
      <c r="C370" s="25"/>
      <c r="M370"/>
      <c r="N370"/>
      <c r="O370"/>
      <c r="P370"/>
      <c r="Q370"/>
      <c r="R370"/>
      <c r="S370"/>
      <c r="T370"/>
      <c r="U370"/>
      <c r="V370"/>
      <c r="W370"/>
      <c r="X370"/>
      <c r="Y370"/>
    </row>
    <row r="371" spans="1:25" s="3" customFormat="1" x14ac:dyDescent="0.45">
      <c r="A371" s="21"/>
      <c r="B371" s="29"/>
      <c r="C371" s="25"/>
      <c r="M371"/>
      <c r="N371"/>
      <c r="O371"/>
      <c r="P371"/>
      <c r="Q371"/>
      <c r="R371"/>
      <c r="S371"/>
      <c r="T371"/>
      <c r="U371"/>
      <c r="V371"/>
      <c r="W371"/>
      <c r="X371"/>
      <c r="Y371"/>
    </row>
    <row r="372" spans="1:25" s="3" customFormat="1" x14ac:dyDescent="0.45">
      <c r="A372" s="21"/>
      <c r="B372" s="29"/>
      <c r="C372" s="25"/>
      <c r="M372"/>
      <c r="N372"/>
      <c r="O372"/>
      <c r="P372"/>
      <c r="Q372"/>
      <c r="R372"/>
      <c r="S372"/>
      <c r="T372"/>
      <c r="U372"/>
      <c r="V372"/>
      <c r="W372"/>
      <c r="X372"/>
      <c r="Y372"/>
    </row>
    <row r="373" spans="1:25" s="3" customFormat="1" x14ac:dyDescent="0.45">
      <c r="A373" s="21"/>
      <c r="B373" s="29"/>
      <c r="C373" s="25"/>
      <c r="M373"/>
      <c r="N373"/>
      <c r="O373"/>
      <c r="P373"/>
      <c r="Q373"/>
      <c r="R373"/>
      <c r="S373"/>
      <c r="T373"/>
      <c r="U373"/>
      <c r="V373"/>
      <c r="W373"/>
      <c r="X373"/>
      <c r="Y373"/>
    </row>
    <row r="374" spans="1:25" s="3" customFormat="1" x14ac:dyDescent="0.45">
      <c r="A374" s="21"/>
      <c r="B374" s="29"/>
      <c r="C374" s="25"/>
      <c r="M374"/>
      <c r="N374"/>
      <c r="O374"/>
      <c r="P374"/>
      <c r="Q374"/>
      <c r="R374"/>
      <c r="S374"/>
      <c r="T374"/>
      <c r="U374"/>
      <c r="V374"/>
      <c r="W374"/>
      <c r="X374"/>
      <c r="Y374"/>
    </row>
    <row r="375" spans="1:25" s="3" customFormat="1" x14ac:dyDescent="0.45">
      <c r="A375" s="21"/>
      <c r="B375" s="29"/>
      <c r="C375" s="25"/>
      <c r="M375"/>
      <c r="N375"/>
      <c r="O375"/>
      <c r="P375"/>
      <c r="Q375"/>
      <c r="R375"/>
      <c r="S375"/>
      <c r="T375"/>
      <c r="U375"/>
      <c r="V375"/>
      <c r="W375"/>
      <c r="X375"/>
      <c r="Y375"/>
    </row>
    <row r="376" spans="1:25" s="3" customFormat="1" x14ac:dyDescent="0.45">
      <c r="A376" s="21"/>
      <c r="B376" s="29"/>
      <c r="C376" s="25"/>
      <c r="M376"/>
      <c r="N376"/>
      <c r="O376"/>
      <c r="P376"/>
      <c r="Q376"/>
      <c r="R376"/>
      <c r="S376"/>
      <c r="T376"/>
      <c r="U376"/>
      <c r="V376"/>
      <c r="W376"/>
      <c r="X376"/>
      <c r="Y376"/>
    </row>
    <row r="377" spans="1:25" s="3" customFormat="1" x14ac:dyDescent="0.45">
      <c r="A377" s="21"/>
      <c r="B377" s="29"/>
      <c r="C377" s="25"/>
      <c r="M377"/>
      <c r="N377"/>
      <c r="O377"/>
      <c r="P377"/>
      <c r="Q377"/>
      <c r="R377"/>
      <c r="S377"/>
      <c r="T377"/>
      <c r="U377"/>
      <c r="V377"/>
      <c r="W377"/>
      <c r="X377"/>
      <c r="Y377"/>
    </row>
    <row r="378" spans="1:25" s="3" customFormat="1" x14ac:dyDescent="0.45">
      <c r="A378" s="21"/>
      <c r="B378" s="29"/>
      <c r="C378" s="25"/>
      <c r="M378"/>
      <c r="N378"/>
      <c r="O378"/>
      <c r="P378"/>
      <c r="Q378"/>
      <c r="R378"/>
      <c r="S378"/>
      <c r="T378"/>
      <c r="U378"/>
      <c r="V378"/>
      <c r="W378"/>
      <c r="X378"/>
      <c r="Y378"/>
    </row>
    <row r="379" spans="1:25" s="3" customFormat="1" x14ac:dyDescent="0.45">
      <c r="A379" s="21"/>
      <c r="B379" s="29"/>
      <c r="C379" s="25"/>
      <c r="M379"/>
      <c r="N379"/>
      <c r="O379"/>
      <c r="P379"/>
      <c r="Q379"/>
      <c r="R379"/>
      <c r="S379"/>
      <c r="T379"/>
      <c r="U379"/>
      <c r="V379"/>
      <c r="W379"/>
      <c r="X379"/>
      <c r="Y379"/>
    </row>
    <row r="380" spans="1:25" s="3" customFormat="1" x14ac:dyDescent="0.45">
      <c r="A380" s="21"/>
      <c r="B380" s="29"/>
      <c r="C380" s="25"/>
      <c r="M380"/>
      <c r="N380"/>
      <c r="O380"/>
      <c r="P380"/>
      <c r="Q380"/>
      <c r="R380"/>
      <c r="S380"/>
      <c r="T380"/>
      <c r="U380"/>
      <c r="V380"/>
      <c r="W380"/>
      <c r="X380"/>
      <c r="Y380"/>
    </row>
    <row r="381" spans="1:25" s="3" customFormat="1" x14ac:dyDescent="0.45">
      <c r="A381" s="21"/>
      <c r="B381" s="29"/>
      <c r="C381" s="25"/>
      <c r="M381"/>
      <c r="N381"/>
      <c r="O381"/>
      <c r="P381"/>
      <c r="Q381"/>
      <c r="R381"/>
      <c r="S381"/>
      <c r="T381"/>
      <c r="U381"/>
      <c r="V381"/>
      <c r="W381"/>
      <c r="X381"/>
      <c r="Y381"/>
    </row>
    <row r="382" spans="1:25" s="3" customFormat="1" x14ac:dyDescent="0.45">
      <c r="A382" s="21"/>
      <c r="B382" s="29"/>
      <c r="C382" s="25"/>
      <c r="M382"/>
      <c r="N382"/>
      <c r="O382"/>
      <c r="P382"/>
      <c r="Q382"/>
      <c r="R382"/>
      <c r="S382"/>
      <c r="T382"/>
      <c r="U382"/>
      <c r="V382"/>
      <c r="W382"/>
      <c r="X382"/>
      <c r="Y382"/>
    </row>
    <row r="383" spans="1:25" s="3" customFormat="1" x14ac:dyDescent="0.45">
      <c r="A383" s="21"/>
      <c r="B383" s="29"/>
      <c r="C383" s="25"/>
      <c r="M383"/>
      <c r="N383"/>
      <c r="O383"/>
      <c r="P383"/>
      <c r="Q383"/>
      <c r="R383"/>
      <c r="S383"/>
      <c r="T383"/>
      <c r="U383"/>
      <c r="V383"/>
      <c r="W383"/>
      <c r="X383"/>
      <c r="Y383"/>
    </row>
    <row r="384" spans="1:25" s="3" customFormat="1" x14ac:dyDescent="0.45">
      <c r="A384" s="21"/>
      <c r="B384" s="29"/>
      <c r="C384" s="25"/>
      <c r="M384"/>
      <c r="N384"/>
      <c r="O384"/>
      <c r="P384"/>
      <c r="Q384"/>
      <c r="R384"/>
      <c r="S384"/>
      <c r="T384"/>
      <c r="U384"/>
      <c r="V384"/>
      <c r="W384"/>
      <c r="X384"/>
      <c r="Y384"/>
    </row>
    <row r="385" spans="1:25" s="3" customFormat="1" x14ac:dyDescent="0.45">
      <c r="A385" s="21"/>
      <c r="B385" s="29"/>
      <c r="C385" s="25"/>
      <c r="M385"/>
      <c r="N385"/>
      <c r="O385"/>
      <c r="P385"/>
      <c r="Q385"/>
      <c r="R385"/>
      <c r="S385"/>
      <c r="T385"/>
      <c r="U385"/>
      <c r="V385"/>
      <c r="W385"/>
      <c r="X385"/>
      <c r="Y385"/>
    </row>
    <row r="386" spans="1:25" s="3" customFormat="1" x14ac:dyDescent="0.45">
      <c r="A386" s="21"/>
      <c r="B386" s="29"/>
      <c r="C386" s="25"/>
      <c r="M386"/>
      <c r="N386"/>
      <c r="O386"/>
      <c r="P386"/>
      <c r="Q386"/>
      <c r="R386"/>
      <c r="S386"/>
      <c r="T386"/>
      <c r="U386"/>
      <c r="V386"/>
      <c r="W386"/>
      <c r="X386"/>
      <c r="Y386"/>
    </row>
    <row r="387" spans="1:25" s="3" customFormat="1" x14ac:dyDescent="0.45">
      <c r="A387" s="21"/>
      <c r="B387" s="29"/>
      <c r="C387" s="25"/>
      <c r="M387"/>
      <c r="N387"/>
      <c r="O387"/>
      <c r="P387"/>
      <c r="Q387"/>
      <c r="R387"/>
      <c r="S387"/>
      <c r="T387"/>
      <c r="U387"/>
      <c r="V387"/>
      <c r="W387"/>
      <c r="X387"/>
      <c r="Y387"/>
    </row>
    <row r="388" spans="1:25" s="3" customFormat="1" x14ac:dyDescent="0.45">
      <c r="A388" s="21"/>
      <c r="B388" s="29"/>
      <c r="C388" s="25"/>
      <c r="M388"/>
      <c r="N388"/>
      <c r="O388"/>
      <c r="P388"/>
      <c r="Q388"/>
      <c r="R388"/>
      <c r="S388"/>
      <c r="T388"/>
      <c r="U388"/>
      <c r="V388"/>
      <c r="W388"/>
      <c r="X388"/>
      <c r="Y388"/>
    </row>
    <row r="389" spans="1:25" s="3" customFormat="1" x14ac:dyDescent="0.45">
      <c r="A389" s="21"/>
      <c r="B389" s="29"/>
      <c r="C389" s="25"/>
      <c r="M389"/>
      <c r="N389"/>
      <c r="O389"/>
      <c r="P389"/>
      <c r="Q389"/>
      <c r="R389"/>
      <c r="S389"/>
      <c r="T389"/>
      <c r="U389"/>
      <c r="V389"/>
      <c r="W389"/>
      <c r="X389"/>
      <c r="Y389"/>
    </row>
    <row r="390" spans="1:25" s="3" customFormat="1" x14ac:dyDescent="0.45">
      <c r="A390" s="21"/>
      <c r="B390" s="29"/>
      <c r="C390" s="25"/>
      <c r="M390"/>
      <c r="N390"/>
      <c r="O390"/>
      <c r="P390"/>
      <c r="Q390"/>
      <c r="R390"/>
      <c r="S390"/>
      <c r="T390"/>
      <c r="U390"/>
      <c r="V390"/>
      <c r="W390"/>
      <c r="X390"/>
      <c r="Y390"/>
    </row>
    <row r="391" spans="1:25" s="3" customFormat="1" x14ac:dyDescent="0.45">
      <c r="A391" s="21"/>
      <c r="B391" s="29"/>
      <c r="C391" s="25"/>
      <c r="M391"/>
      <c r="N391"/>
      <c r="O391"/>
      <c r="P391"/>
      <c r="Q391"/>
      <c r="R391"/>
      <c r="S391"/>
      <c r="T391"/>
      <c r="U391"/>
      <c r="V391"/>
      <c r="W391"/>
      <c r="X391"/>
      <c r="Y391"/>
    </row>
    <row r="392" spans="1:25" s="3" customFormat="1" x14ac:dyDescent="0.45">
      <c r="A392" s="21"/>
      <c r="B392" s="29"/>
      <c r="C392" s="25"/>
      <c r="M392"/>
      <c r="N392"/>
      <c r="O392"/>
      <c r="P392"/>
      <c r="Q392"/>
      <c r="R392"/>
      <c r="S392"/>
      <c r="T392"/>
      <c r="U392"/>
      <c r="V392"/>
      <c r="W392"/>
      <c r="X392"/>
      <c r="Y392"/>
    </row>
    <row r="393" spans="1:25" s="3" customFormat="1" x14ac:dyDescent="0.45">
      <c r="A393" s="21"/>
      <c r="B393" s="29"/>
      <c r="C393" s="25"/>
      <c r="M393"/>
      <c r="N393"/>
      <c r="O393"/>
      <c r="P393"/>
      <c r="Q393"/>
      <c r="R393"/>
      <c r="S393"/>
      <c r="T393"/>
      <c r="U393"/>
      <c r="V393"/>
      <c r="W393"/>
      <c r="X393"/>
      <c r="Y393"/>
    </row>
    <row r="394" spans="1:25" s="3" customFormat="1" x14ac:dyDescent="0.45">
      <c r="A394" s="21"/>
      <c r="B394" s="29"/>
      <c r="C394" s="25"/>
      <c r="M394"/>
      <c r="N394"/>
      <c r="O394"/>
      <c r="P394"/>
      <c r="Q394"/>
      <c r="R394"/>
      <c r="S394"/>
      <c r="T394"/>
      <c r="U394"/>
      <c r="V394"/>
      <c r="W394"/>
      <c r="X394"/>
      <c r="Y394"/>
    </row>
    <row r="395" spans="1:25" s="3" customFormat="1" x14ac:dyDescent="0.45">
      <c r="A395" s="21"/>
      <c r="B395" s="29"/>
      <c r="C395" s="25"/>
      <c r="M395"/>
      <c r="N395"/>
      <c r="O395"/>
      <c r="P395"/>
      <c r="Q395"/>
      <c r="R395"/>
      <c r="S395"/>
      <c r="T395"/>
      <c r="U395"/>
      <c r="V395"/>
      <c r="W395"/>
      <c r="X395"/>
      <c r="Y395"/>
    </row>
    <row r="396" spans="1:25" s="3" customFormat="1" x14ac:dyDescent="0.45">
      <c r="A396" s="21"/>
      <c r="B396" s="29"/>
      <c r="C396" s="25"/>
      <c r="M396"/>
      <c r="N396"/>
      <c r="O396"/>
      <c r="P396"/>
      <c r="Q396"/>
      <c r="R396"/>
      <c r="S396"/>
      <c r="T396"/>
      <c r="U396"/>
      <c r="V396"/>
      <c r="W396"/>
      <c r="X396"/>
      <c r="Y396"/>
    </row>
    <row r="397" spans="1:25" s="3" customFormat="1" x14ac:dyDescent="0.45">
      <c r="A397" s="21"/>
      <c r="B397" s="29"/>
      <c r="C397" s="25"/>
      <c r="M397"/>
      <c r="N397"/>
      <c r="O397"/>
      <c r="P397"/>
      <c r="Q397"/>
      <c r="R397"/>
      <c r="S397"/>
      <c r="T397"/>
      <c r="U397"/>
      <c r="V397"/>
      <c r="W397"/>
      <c r="X397"/>
      <c r="Y397"/>
    </row>
    <row r="398" spans="1:25" s="3" customFormat="1" x14ac:dyDescent="0.45">
      <c r="A398" s="21"/>
      <c r="B398" s="29"/>
      <c r="C398" s="25"/>
      <c r="M398"/>
      <c r="N398"/>
      <c r="O398"/>
      <c r="P398"/>
      <c r="Q398"/>
      <c r="R398"/>
      <c r="S398"/>
      <c r="T398"/>
      <c r="U398"/>
      <c r="V398"/>
      <c r="W398"/>
      <c r="X398"/>
      <c r="Y398"/>
    </row>
    <row r="399" spans="1:25" s="3" customFormat="1" x14ac:dyDescent="0.45">
      <c r="A399" s="21"/>
      <c r="B399" s="29"/>
      <c r="C399" s="25"/>
      <c r="M399"/>
      <c r="N399"/>
      <c r="O399"/>
      <c r="P399"/>
      <c r="Q399"/>
      <c r="R399"/>
      <c r="S399"/>
      <c r="T399"/>
      <c r="U399"/>
      <c r="V399"/>
      <c r="W399"/>
      <c r="X399"/>
      <c r="Y399"/>
    </row>
    <row r="400" spans="1:25" s="3" customFormat="1" x14ac:dyDescent="0.45">
      <c r="A400" s="21"/>
      <c r="B400" s="29"/>
      <c r="C400" s="25"/>
      <c r="M400"/>
      <c r="N400"/>
      <c r="O400"/>
      <c r="P400"/>
      <c r="Q400"/>
      <c r="R400"/>
      <c r="S400"/>
      <c r="T400"/>
      <c r="U400"/>
      <c r="V400"/>
      <c r="W400"/>
      <c r="X400"/>
      <c r="Y400"/>
    </row>
    <row r="401" spans="1:25" s="3" customFormat="1" x14ac:dyDescent="0.45">
      <c r="A401" s="21"/>
      <c r="B401" s="29"/>
      <c r="C401" s="25"/>
      <c r="M401"/>
      <c r="N401"/>
      <c r="O401"/>
      <c r="P401"/>
      <c r="Q401"/>
      <c r="R401"/>
      <c r="S401"/>
      <c r="T401"/>
      <c r="U401"/>
      <c r="V401"/>
      <c r="W401"/>
      <c r="X401"/>
      <c r="Y401"/>
    </row>
    <row r="402" spans="1:25" s="3" customFormat="1" x14ac:dyDescent="0.45">
      <c r="A402" s="21"/>
      <c r="B402" s="29"/>
      <c r="C402" s="25"/>
      <c r="M402"/>
      <c r="N402"/>
      <c r="O402"/>
      <c r="P402"/>
      <c r="Q402"/>
      <c r="R402"/>
      <c r="S402"/>
      <c r="T402"/>
      <c r="U402"/>
      <c r="V402"/>
      <c r="W402"/>
      <c r="X402"/>
      <c r="Y402"/>
    </row>
    <row r="403" spans="1:25" s="3" customFormat="1" x14ac:dyDescent="0.45">
      <c r="A403" s="21"/>
      <c r="B403" s="29"/>
      <c r="C403" s="25"/>
      <c r="M403"/>
      <c r="N403"/>
      <c r="O403"/>
      <c r="P403"/>
      <c r="Q403"/>
      <c r="R403"/>
      <c r="S403"/>
      <c r="T403"/>
      <c r="U403"/>
      <c r="V403"/>
      <c r="W403"/>
      <c r="X403"/>
      <c r="Y403"/>
    </row>
    <row r="404" spans="1:25" s="3" customFormat="1" x14ac:dyDescent="0.45">
      <c r="A404" s="21"/>
      <c r="B404" s="29"/>
      <c r="C404" s="25"/>
      <c r="M404"/>
      <c r="N404"/>
      <c r="O404"/>
      <c r="P404"/>
      <c r="Q404"/>
      <c r="R404"/>
      <c r="S404"/>
      <c r="T404"/>
      <c r="U404"/>
      <c r="V404"/>
      <c r="W404"/>
      <c r="X404"/>
      <c r="Y404"/>
    </row>
    <row r="405" spans="1:25" s="3" customFormat="1" x14ac:dyDescent="0.45">
      <c r="A405" s="21"/>
      <c r="B405" s="29"/>
      <c r="C405" s="25"/>
      <c r="M405"/>
      <c r="N405"/>
      <c r="O405"/>
      <c r="P405"/>
      <c r="Q405"/>
      <c r="R405"/>
      <c r="S405"/>
      <c r="T405"/>
      <c r="U405"/>
      <c r="V405"/>
      <c r="W405"/>
      <c r="X405"/>
      <c r="Y405"/>
    </row>
    <row r="406" spans="1:25" s="3" customFormat="1" x14ac:dyDescent="0.45">
      <c r="A406" s="21"/>
      <c r="B406" s="29"/>
      <c r="C406" s="25"/>
      <c r="M406"/>
      <c r="N406"/>
      <c r="O406"/>
      <c r="P406"/>
      <c r="Q406"/>
      <c r="R406"/>
      <c r="S406"/>
      <c r="T406"/>
      <c r="U406"/>
      <c r="V406"/>
      <c r="W406"/>
      <c r="X406"/>
      <c r="Y406"/>
    </row>
    <row r="407" spans="1:25" s="3" customFormat="1" x14ac:dyDescent="0.45">
      <c r="A407" s="21"/>
      <c r="B407" s="29"/>
      <c r="C407" s="25"/>
      <c r="M407"/>
      <c r="N407"/>
      <c r="O407"/>
      <c r="P407"/>
      <c r="Q407"/>
      <c r="R407"/>
      <c r="S407"/>
      <c r="T407"/>
      <c r="U407"/>
      <c r="V407"/>
      <c r="W407"/>
      <c r="X407"/>
      <c r="Y407"/>
    </row>
    <row r="408" spans="1:25" s="3" customFormat="1" x14ac:dyDescent="0.45">
      <c r="A408" s="21"/>
      <c r="B408" s="29"/>
      <c r="C408" s="25"/>
      <c r="M408"/>
      <c r="N408"/>
      <c r="O408"/>
      <c r="P408"/>
      <c r="Q408"/>
      <c r="R408"/>
      <c r="S408"/>
      <c r="T408"/>
      <c r="U408"/>
      <c r="V408"/>
      <c r="W408"/>
      <c r="X408"/>
      <c r="Y408"/>
    </row>
    <row r="409" spans="1:25" s="3" customFormat="1" x14ac:dyDescent="0.45">
      <c r="A409" s="21"/>
      <c r="B409" s="29"/>
      <c r="C409" s="25"/>
      <c r="M409"/>
      <c r="N409"/>
      <c r="O409"/>
      <c r="P409"/>
      <c r="Q409"/>
      <c r="R409"/>
      <c r="S409"/>
      <c r="T409"/>
      <c r="U409"/>
      <c r="V409"/>
      <c r="W409"/>
      <c r="X409"/>
      <c r="Y409"/>
    </row>
    <row r="410" spans="1:25" s="3" customFormat="1" x14ac:dyDescent="0.45">
      <c r="A410" s="21"/>
      <c r="B410" s="29"/>
      <c r="C410" s="25"/>
      <c r="M410"/>
      <c r="N410"/>
      <c r="O410"/>
      <c r="P410"/>
      <c r="Q410"/>
      <c r="R410"/>
      <c r="S410"/>
      <c r="T410"/>
      <c r="U410"/>
      <c r="V410"/>
      <c r="W410"/>
      <c r="X410"/>
      <c r="Y410"/>
    </row>
    <row r="411" spans="1:25" s="3" customFormat="1" x14ac:dyDescent="0.45">
      <c r="A411" s="21"/>
      <c r="B411" s="29"/>
      <c r="C411" s="25"/>
      <c r="M411"/>
      <c r="N411"/>
      <c r="O411"/>
      <c r="P411"/>
      <c r="Q411"/>
      <c r="R411"/>
      <c r="S411"/>
      <c r="T411"/>
      <c r="U411"/>
      <c r="V411"/>
      <c r="W411"/>
      <c r="X411"/>
      <c r="Y411"/>
    </row>
    <row r="412" spans="1:25" s="3" customFormat="1" x14ac:dyDescent="0.45">
      <c r="A412" s="21"/>
      <c r="B412" s="29"/>
      <c r="C412" s="25"/>
      <c r="M412"/>
      <c r="N412"/>
      <c r="O412"/>
      <c r="P412"/>
      <c r="Q412"/>
      <c r="R412"/>
      <c r="S412"/>
      <c r="T412"/>
      <c r="U412"/>
      <c r="V412"/>
      <c r="W412"/>
      <c r="X412"/>
      <c r="Y412"/>
    </row>
    <row r="413" spans="1:25" s="3" customFormat="1" x14ac:dyDescent="0.45">
      <c r="A413" s="21"/>
      <c r="B413" s="29"/>
      <c r="C413" s="25"/>
      <c r="M413"/>
      <c r="N413"/>
      <c r="O413"/>
      <c r="P413"/>
      <c r="Q413"/>
      <c r="R413"/>
      <c r="S413"/>
      <c r="T413"/>
      <c r="U413"/>
      <c r="V413"/>
      <c r="W413"/>
      <c r="X413"/>
      <c r="Y413"/>
    </row>
    <row r="414" spans="1:25" s="3" customFormat="1" x14ac:dyDescent="0.45">
      <c r="A414" s="21"/>
      <c r="B414" s="29"/>
      <c r="C414" s="25"/>
      <c r="M414"/>
      <c r="N414"/>
      <c r="O414"/>
      <c r="P414"/>
      <c r="Q414"/>
      <c r="R414"/>
      <c r="S414"/>
      <c r="T414"/>
      <c r="U414"/>
      <c r="V414"/>
      <c r="W414"/>
      <c r="X414"/>
      <c r="Y414"/>
    </row>
    <row r="415" spans="1:25" s="3" customFormat="1" x14ac:dyDescent="0.45">
      <c r="A415" s="21"/>
      <c r="B415" s="29"/>
      <c r="C415" s="25"/>
      <c r="M415"/>
      <c r="N415"/>
      <c r="O415"/>
      <c r="P415"/>
      <c r="Q415"/>
      <c r="R415"/>
      <c r="S415"/>
      <c r="T415"/>
      <c r="U415"/>
      <c r="V415"/>
      <c r="W415"/>
      <c r="X415"/>
      <c r="Y415"/>
    </row>
    <row r="416" spans="1:25" s="3" customFormat="1" x14ac:dyDescent="0.45">
      <c r="A416" s="21"/>
      <c r="B416" s="29"/>
      <c r="C416" s="25"/>
      <c r="M416"/>
      <c r="N416"/>
      <c r="O416"/>
      <c r="P416"/>
      <c r="Q416"/>
      <c r="R416"/>
      <c r="S416"/>
      <c r="T416"/>
      <c r="U416"/>
      <c r="V416"/>
      <c r="W416"/>
      <c r="X416"/>
      <c r="Y416"/>
    </row>
    <row r="417" spans="1:25" s="3" customFormat="1" x14ac:dyDescent="0.45">
      <c r="A417" s="21"/>
      <c r="B417" s="29"/>
      <c r="C417" s="25"/>
      <c r="M417"/>
      <c r="N417"/>
      <c r="O417"/>
      <c r="P417"/>
      <c r="Q417"/>
      <c r="R417"/>
      <c r="S417"/>
      <c r="T417"/>
      <c r="U417"/>
      <c r="V417"/>
      <c r="W417"/>
      <c r="X417"/>
      <c r="Y417"/>
    </row>
    <row r="418" spans="1:25" s="3" customFormat="1" x14ac:dyDescent="0.45">
      <c r="A418" s="21"/>
      <c r="B418" s="29"/>
      <c r="C418" s="25"/>
      <c r="M418"/>
      <c r="N418"/>
      <c r="O418"/>
      <c r="P418"/>
      <c r="Q418"/>
      <c r="R418"/>
      <c r="S418"/>
      <c r="T418"/>
      <c r="U418"/>
      <c r="V418"/>
      <c r="W418"/>
      <c r="X418"/>
      <c r="Y418"/>
    </row>
    <row r="419" spans="1:25" s="3" customFormat="1" x14ac:dyDescent="0.45">
      <c r="A419" s="21"/>
      <c r="B419" s="29"/>
      <c r="C419" s="25"/>
      <c r="M419"/>
      <c r="N419"/>
      <c r="O419"/>
      <c r="P419"/>
      <c r="Q419"/>
      <c r="R419"/>
      <c r="S419"/>
      <c r="T419"/>
      <c r="U419"/>
      <c r="V419"/>
      <c r="W419"/>
      <c r="X419"/>
      <c r="Y419"/>
    </row>
    <row r="420" spans="1:25" s="3" customFormat="1" x14ac:dyDescent="0.45">
      <c r="A420" s="21"/>
      <c r="B420" s="29"/>
      <c r="C420" s="25"/>
      <c r="M420"/>
      <c r="N420"/>
      <c r="O420"/>
      <c r="P420"/>
      <c r="Q420"/>
      <c r="R420"/>
      <c r="S420"/>
      <c r="T420"/>
      <c r="U420"/>
      <c r="V420"/>
      <c r="W420"/>
      <c r="X420"/>
      <c r="Y420"/>
    </row>
    <row r="421" spans="1:25" s="3" customFormat="1" x14ac:dyDescent="0.45">
      <c r="A421" s="21"/>
      <c r="B421" s="29"/>
      <c r="C421" s="25"/>
      <c r="M421"/>
      <c r="N421"/>
      <c r="O421"/>
      <c r="P421"/>
      <c r="Q421"/>
      <c r="R421"/>
      <c r="S421"/>
      <c r="T421"/>
      <c r="U421"/>
      <c r="V421"/>
      <c r="W421"/>
      <c r="X421"/>
      <c r="Y421"/>
    </row>
    <row r="422" spans="1:25" s="3" customFormat="1" x14ac:dyDescent="0.45">
      <c r="A422" s="21"/>
      <c r="B422" s="29"/>
      <c r="C422" s="25"/>
      <c r="M422"/>
      <c r="N422"/>
      <c r="O422"/>
      <c r="P422"/>
      <c r="Q422"/>
      <c r="R422"/>
      <c r="S422"/>
      <c r="T422"/>
      <c r="U422"/>
      <c r="V422"/>
      <c r="W422"/>
      <c r="X422"/>
      <c r="Y422"/>
    </row>
    <row r="423" spans="1:25" s="3" customFormat="1" x14ac:dyDescent="0.45">
      <c r="A423" s="21"/>
      <c r="B423" s="29"/>
      <c r="C423" s="25"/>
      <c r="M423"/>
      <c r="N423"/>
      <c r="O423"/>
      <c r="P423"/>
      <c r="Q423"/>
      <c r="R423"/>
      <c r="S423"/>
      <c r="T423"/>
      <c r="U423"/>
      <c r="V423"/>
      <c r="W423"/>
      <c r="X423"/>
      <c r="Y423"/>
    </row>
    <row r="424" spans="1:25" s="3" customFormat="1" x14ac:dyDescent="0.45">
      <c r="A424" s="21"/>
      <c r="B424" s="29"/>
      <c r="C424" s="25"/>
      <c r="M424"/>
      <c r="N424"/>
      <c r="O424"/>
      <c r="P424"/>
      <c r="Q424"/>
      <c r="R424"/>
      <c r="S424"/>
      <c r="T424"/>
      <c r="U424"/>
      <c r="V424"/>
      <c r="W424"/>
      <c r="X424"/>
      <c r="Y424"/>
    </row>
    <row r="425" spans="1:25" s="3" customFormat="1" x14ac:dyDescent="0.45">
      <c r="A425" s="21"/>
      <c r="B425" s="29"/>
      <c r="C425" s="25"/>
      <c r="M425"/>
      <c r="N425"/>
      <c r="O425"/>
      <c r="P425"/>
      <c r="Q425"/>
      <c r="R425"/>
      <c r="S425"/>
      <c r="T425"/>
      <c r="U425"/>
      <c r="V425"/>
      <c r="W425"/>
      <c r="X425"/>
      <c r="Y425"/>
    </row>
    <row r="426" spans="1:25" s="3" customFormat="1" x14ac:dyDescent="0.45">
      <c r="A426" s="21"/>
      <c r="B426" s="29"/>
      <c r="C426" s="25"/>
      <c r="M426"/>
      <c r="N426"/>
      <c r="O426"/>
      <c r="P426"/>
      <c r="Q426"/>
      <c r="R426"/>
      <c r="S426"/>
      <c r="T426"/>
      <c r="U426"/>
      <c r="V426"/>
      <c r="W426"/>
      <c r="X426"/>
      <c r="Y426"/>
    </row>
    <row r="427" spans="1:25" s="3" customFormat="1" x14ac:dyDescent="0.45">
      <c r="A427" s="21"/>
      <c r="B427" s="29"/>
      <c r="C427" s="25"/>
      <c r="M427"/>
      <c r="N427"/>
      <c r="O427"/>
      <c r="P427"/>
      <c r="Q427"/>
      <c r="R427"/>
      <c r="S427"/>
      <c r="T427"/>
      <c r="U427"/>
      <c r="V427"/>
      <c r="W427"/>
      <c r="X427"/>
      <c r="Y427"/>
    </row>
    <row r="428" spans="1:25" s="3" customFormat="1" x14ac:dyDescent="0.45">
      <c r="A428" s="21"/>
      <c r="B428" s="29"/>
      <c r="C428" s="25"/>
      <c r="M428"/>
      <c r="N428"/>
      <c r="O428"/>
      <c r="P428"/>
      <c r="Q428"/>
      <c r="R428"/>
      <c r="S428"/>
      <c r="T428"/>
      <c r="U428"/>
      <c r="V428"/>
      <c r="W428"/>
      <c r="X428"/>
      <c r="Y428"/>
    </row>
    <row r="429" spans="1:25" s="3" customFormat="1" x14ac:dyDescent="0.45">
      <c r="A429" s="21"/>
      <c r="B429" s="29"/>
      <c r="C429" s="25"/>
      <c r="M429"/>
      <c r="N429"/>
      <c r="O429"/>
      <c r="P429"/>
      <c r="Q429"/>
      <c r="R429"/>
      <c r="S429"/>
      <c r="T429"/>
      <c r="U429"/>
      <c r="V429"/>
      <c r="W429"/>
      <c r="X429"/>
      <c r="Y429"/>
    </row>
    <row r="430" spans="1:25" s="3" customFormat="1" x14ac:dyDescent="0.45">
      <c r="A430" s="21"/>
      <c r="B430" s="29"/>
      <c r="C430" s="25"/>
      <c r="M430"/>
      <c r="N430"/>
      <c r="O430"/>
      <c r="P430"/>
      <c r="Q430"/>
      <c r="R430"/>
      <c r="S430"/>
      <c r="T430"/>
      <c r="U430"/>
      <c r="V430"/>
      <c r="W430"/>
      <c r="X430"/>
      <c r="Y430"/>
    </row>
    <row r="431" spans="1:25" s="3" customFormat="1" x14ac:dyDescent="0.45">
      <c r="A431" s="21"/>
      <c r="B431" s="29"/>
      <c r="C431" s="25"/>
      <c r="M431"/>
      <c r="N431"/>
      <c r="O431"/>
      <c r="P431"/>
      <c r="Q431"/>
      <c r="R431"/>
      <c r="S431"/>
      <c r="T431"/>
      <c r="U431"/>
      <c r="V431"/>
      <c r="W431"/>
      <c r="X431"/>
      <c r="Y431"/>
    </row>
    <row r="432" spans="1:25" s="3" customFormat="1" x14ac:dyDescent="0.45">
      <c r="A432" s="21"/>
      <c r="B432" s="29"/>
      <c r="C432" s="25"/>
      <c r="M432"/>
      <c r="N432"/>
      <c r="O432"/>
      <c r="P432"/>
      <c r="Q432"/>
      <c r="R432"/>
      <c r="S432"/>
      <c r="T432"/>
      <c r="U432"/>
      <c r="V432"/>
      <c r="W432"/>
      <c r="X432"/>
      <c r="Y432"/>
    </row>
    <row r="433" spans="1:25" s="3" customFormat="1" x14ac:dyDescent="0.45">
      <c r="A433" s="21"/>
      <c r="B433" s="29"/>
      <c r="C433" s="25"/>
      <c r="M433"/>
      <c r="N433"/>
      <c r="O433"/>
      <c r="P433"/>
      <c r="Q433"/>
      <c r="R433"/>
      <c r="S433"/>
      <c r="T433"/>
      <c r="U433"/>
      <c r="V433"/>
      <c r="W433"/>
      <c r="X433"/>
      <c r="Y433"/>
    </row>
    <row r="434" spans="1:25" s="3" customFormat="1" x14ac:dyDescent="0.45">
      <c r="A434" s="21"/>
      <c r="B434" s="29"/>
      <c r="C434" s="25"/>
      <c r="M434"/>
      <c r="N434"/>
      <c r="O434"/>
      <c r="P434"/>
      <c r="Q434"/>
      <c r="R434"/>
      <c r="S434"/>
      <c r="T434"/>
      <c r="U434"/>
      <c r="V434"/>
      <c r="W434"/>
      <c r="X434"/>
      <c r="Y434"/>
    </row>
    <row r="435" spans="1:25" s="3" customFormat="1" x14ac:dyDescent="0.45">
      <c r="A435" s="21"/>
      <c r="B435" s="29"/>
      <c r="C435" s="25"/>
      <c r="M435"/>
      <c r="N435"/>
      <c r="O435"/>
      <c r="P435"/>
      <c r="Q435"/>
      <c r="R435"/>
      <c r="S435"/>
      <c r="T435"/>
      <c r="U435"/>
      <c r="V435"/>
      <c r="W435"/>
      <c r="X435"/>
      <c r="Y435"/>
    </row>
    <row r="436" spans="1:25" s="3" customFormat="1" x14ac:dyDescent="0.45">
      <c r="A436" s="21"/>
      <c r="B436" s="29"/>
      <c r="C436" s="25"/>
      <c r="M436"/>
      <c r="N436"/>
      <c r="O436"/>
      <c r="P436"/>
      <c r="Q436"/>
      <c r="R436"/>
      <c r="S436"/>
      <c r="T436"/>
      <c r="U436"/>
      <c r="V436"/>
      <c r="W436"/>
      <c r="X436"/>
      <c r="Y436"/>
    </row>
    <row r="437" spans="1:25" s="3" customFormat="1" x14ac:dyDescent="0.45">
      <c r="A437" s="21"/>
      <c r="B437" s="29"/>
      <c r="C437" s="25"/>
      <c r="M437"/>
      <c r="N437"/>
      <c r="O437"/>
      <c r="P437"/>
      <c r="Q437"/>
      <c r="R437"/>
      <c r="S437"/>
      <c r="T437"/>
      <c r="U437"/>
      <c r="V437"/>
      <c r="W437"/>
      <c r="X437"/>
      <c r="Y437"/>
    </row>
    <row r="438" spans="1:25" s="3" customFormat="1" x14ac:dyDescent="0.45">
      <c r="A438" s="21"/>
      <c r="B438" s="29"/>
      <c r="C438" s="25"/>
      <c r="M438"/>
      <c r="N438"/>
      <c r="O438"/>
      <c r="P438"/>
      <c r="Q438"/>
      <c r="R438"/>
      <c r="S438"/>
      <c r="T438"/>
      <c r="U438"/>
      <c r="V438"/>
      <c r="W438"/>
      <c r="X438"/>
      <c r="Y438"/>
    </row>
    <row r="439" spans="1:25" s="3" customFormat="1" x14ac:dyDescent="0.45">
      <c r="A439" s="21"/>
      <c r="B439" s="29"/>
      <c r="C439" s="25"/>
      <c r="M439"/>
      <c r="N439"/>
      <c r="O439"/>
      <c r="P439"/>
      <c r="Q439"/>
      <c r="R439"/>
      <c r="S439"/>
      <c r="T439"/>
      <c r="U439"/>
      <c r="V439"/>
      <c r="W439"/>
      <c r="X439"/>
      <c r="Y439"/>
    </row>
    <row r="440" spans="1:25" s="3" customFormat="1" x14ac:dyDescent="0.45">
      <c r="A440" s="21"/>
      <c r="B440" s="29"/>
      <c r="C440" s="25"/>
      <c r="M440"/>
      <c r="N440"/>
      <c r="O440"/>
      <c r="P440"/>
      <c r="Q440"/>
      <c r="R440"/>
      <c r="S440"/>
      <c r="T440"/>
      <c r="U440"/>
      <c r="V440"/>
      <c r="W440"/>
      <c r="X440"/>
      <c r="Y440"/>
    </row>
    <row r="441" spans="1:25" s="3" customFormat="1" x14ac:dyDescent="0.45">
      <c r="A441" s="21"/>
      <c r="B441" s="29"/>
      <c r="C441" s="25"/>
      <c r="M441"/>
      <c r="N441"/>
      <c r="O441"/>
      <c r="P441"/>
      <c r="Q441"/>
      <c r="R441"/>
      <c r="S441"/>
      <c r="T441"/>
      <c r="U441"/>
      <c r="V441"/>
      <c r="W441"/>
      <c r="X441"/>
      <c r="Y441"/>
    </row>
    <row r="442" spans="1:25" s="3" customFormat="1" x14ac:dyDescent="0.45">
      <c r="A442" s="21"/>
      <c r="B442" s="29"/>
      <c r="C442" s="25"/>
      <c r="M442"/>
      <c r="N442"/>
      <c r="O442"/>
      <c r="P442"/>
      <c r="Q442"/>
      <c r="R442"/>
      <c r="S442"/>
      <c r="T442"/>
      <c r="U442"/>
      <c r="V442"/>
      <c r="W442"/>
      <c r="X442"/>
      <c r="Y442"/>
    </row>
    <row r="443" spans="1:25" s="3" customFormat="1" x14ac:dyDescent="0.45">
      <c r="A443" s="21"/>
      <c r="B443" s="29"/>
      <c r="C443" s="25"/>
      <c r="M443"/>
      <c r="N443"/>
      <c r="O443"/>
      <c r="P443"/>
      <c r="Q443"/>
      <c r="R443"/>
      <c r="S443"/>
      <c r="T443"/>
      <c r="U443"/>
      <c r="V443"/>
      <c r="W443"/>
      <c r="X443"/>
      <c r="Y443"/>
    </row>
    <row r="444" spans="1:25" s="3" customFormat="1" x14ac:dyDescent="0.45">
      <c r="A444" s="21"/>
      <c r="B444" s="29"/>
      <c r="C444" s="25"/>
      <c r="M444"/>
      <c r="N444"/>
      <c r="O444"/>
      <c r="P444"/>
      <c r="Q444"/>
      <c r="R444"/>
      <c r="S444"/>
      <c r="T444"/>
      <c r="U444"/>
      <c r="V444"/>
      <c r="W444"/>
      <c r="X444"/>
      <c r="Y444"/>
    </row>
    <row r="445" spans="1:25" s="3" customFormat="1" x14ac:dyDescent="0.45">
      <c r="A445" s="21"/>
      <c r="B445" s="29"/>
      <c r="C445" s="25"/>
      <c r="M445"/>
      <c r="N445"/>
      <c r="O445"/>
      <c r="P445"/>
      <c r="Q445"/>
      <c r="R445"/>
      <c r="S445"/>
      <c r="T445"/>
      <c r="U445"/>
      <c r="V445"/>
      <c r="W445"/>
      <c r="X445"/>
      <c r="Y445"/>
    </row>
    <row r="446" spans="1:25" s="3" customFormat="1" x14ac:dyDescent="0.45">
      <c r="A446" s="21"/>
      <c r="B446" s="29"/>
      <c r="C446" s="25"/>
      <c r="M446"/>
      <c r="N446"/>
      <c r="O446"/>
      <c r="P446"/>
      <c r="Q446"/>
      <c r="R446"/>
      <c r="S446"/>
      <c r="T446"/>
      <c r="U446"/>
      <c r="V446"/>
      <c r="W446"/>
      <c r="X446"/>
      <c r="Y446"/>
    </row>
    <row r="447" spans="1:25" s="3" customFormat="1" x14ac:dyDescent="0.45">
      <c r="A447" s="21"/>
      <c r="B447" s="29"/>
      <c r="C447" s="25"/>
      <c r="M447"/>
      <c r="N447"/>
      <c r="O447"/>
      <c r="P447"/>
      <c r="Q447"/>
      <c r="R447"/>
      <c r="S447"/>
      <c r="T447"/>
      <c r="U447"/>
      <c r="V447"/>
      <c r="W447"/>
      <c r="X447"/>
      <c r="Y447"/>
    </row>
    <row r="448" spans="1:25" s="3" customFormat="1" x14ac:dyDescent="0.45">
      <c r="A448" s="21"/>
      <c r="B448" s="29"/>
      <c r="C448" s="25"/>
      <c r="M448"/>
      <c r="N448"/>
      <c r="O448"/>
      <c r="P448"/>
      <c r="Q448"/>
      <c r="R448"/>
      <c r="S448"/>
      <c r="T448"/>
      <c r="U448"/>
      <c r="V448"/>
      <c r="W448"/>
      <c r="X448"/>
      <c r="Y448"/>
    </row>
    <row r="449" spans="1:25" s="3" customFormat="1" x14ac:dyDescent="0.45">
      <c r="A449" s="21"/>
      <c r="B449" s="29"/>
      <c r="C449" s="25"/>
      <c r="M449"/>
      <c r="N449"/>
      <c r="O449"/>
      <c r="P449"/>
      <c r="Q449"/>
      <c r="R449"/>
      <c r="S449"/>
      <c r="T449"/>
      <c r="U449"/>
      <c r="V449"/>
      <c r="W449"/>
      <c r="X449"/>
      <c r="Y449"/>
    </row>
    <row r="450" spans="1:25" s="3" customFormat="1" x14ac:dyDescent="0.45">
      <c r="A450" s="21"/>
      <c r="B450" s="29"/>
      <c r="C450" s="25"/>
      <c r="M450"/>
      <c r="N450"/>
      <c r="O450"/>
      <c r="P450"/>
      <c r="Q450"/>
      <c r="R450"/>
      <c r="S450"/>
      <c r="T450"/>
      <c r="U450"/>
      <c r="V450"/>
      <c r="W450"/>
      <c r="X450"/>
      <c r="Y450"/>
    </row>
    <row r="451" spans="1:25" s="3" customFormat="1" x14ac:dyDescent="0.45">
      <c r="A451" s="21"/>
      <c r="B451" s="29"/>
      <c r="C451" s="25"/>
      <c r="M451"/>
      <c r="N451"/>
      <c r="O451"/>
      <c r="P451"/>
      <c r="Q451"/>
      <c r="R451"/>
      <c r="S451"/>
      <c r="T451"/>
      <c r="U451"/>
      <c r="V451"/>
      <c r="W451"/>
      <c r="X451"/>
      <c r="Y451"/>
    </row>
    <row r="452" spans="1:25" s="3" customFormat="1" x14ac:dyDescent="0.45">
      <c r="A452" s="21"/>
      <c r="B452" s="29"/>
      <c r="C452" s="25"/>
      <c r="M452"/>
      <c r="N452"/>
      <c r="O452"/>
      <c r="P452"/>
      <c r="Q452"/>
      <c r="R452"/>
      <c r="S452"/>
      <c r="T452"/>
      <c r="U452"/>
      <c r="V452"/>
      <c r="W452"/>
      <c r="X452"/>
      <c r="Y452"/>
    </row>
    <row r="453" spans="1:25" s="3" customFormat="1" x14ac:dyDescent="0.45">
      <c r="A453" s="21"/>
      <c r="B453" s="29"/>
      <c r="C453" s="25"/>
      <c r="M453"/>
      <c r="N453"/>
      <c r="O453"/>
      <c r="P453"/>
      <c r="Q453"/>
      <c r="R453"/>
      <c r="S453"/>
      <c r="T453"/>
      <c r="U453"/>
      <c r="V453"/>
      <c r="W453"/>
      <c r="X453"/>
      <c r="Y453"/>
    </row>
    <row r="454" spans="1:25" s="3" customFormat="1" x14ac:dyDescent="0.45">
      <c r="A454" s="21"/>
      <c r="B454" s="29"/>
      <c r="C454" s="25"/>
      <c r="M454"/>
      <c r="N454"/>
      <c r="O454"/>
      <c r="P454"/>
      <c r="Q454"/>
      <c r="R454"/>
      <c r="S454"/>
      <c r="T454"/>
      <c r="U454"/>
      <c r="V454"/>
      <c r="W454"/>
      <c r="X454"/>
      <c r="Y454"/>
    </row>
    <row r="455" spans="1:25" s="3" customFormat="1" x14ac:dyDescent="0.45">
      <c r="A455" s="21"/>
      <c r="B455" s="29"/>
      <c r="C455" s="25"/>
      <c r="M455"/>
      <c r="N455"/>
      <c r="O455"/>
      <c r="P455"/>
      <c r="Q455"/>
      <c r="R455"/>
      <c r="S455"/>
      <c r="T455"/>
      <c r="U455"/>
      <c r="V455"/>
      <c r="W455"/>
      <c r="X455"/>
      <c r="Y455"/>
    </row>
    <row r="456" spans="1:25" s="3" customFormat="1" x14ac:dyDescent="0.45">
      <c r="A456" s="21"/>
      <c r="B456" s="29"/>
      <c r="C456" s="25"/>
      <c r="M456"/>
      <c r="N456"/>
      <c r="O456"/>
      <c r="P456"/>
      <c r="Q456"/>
      <c r="R456"/>
      <c r="S456"/>
      <c r="T456"/>
      <c r="U456"/>
      <c r="V456"/>
      <c r="W456"/>
      <c r="X456"/>
      <c r="Y456"/>
    </row>
    <row r="457" spans="1:25" s="3" customFormat="1" x14ac:dyDescent="0.45">
      <c r="A457" s="21"/>
      <c r="B457" s="29"/>
      <c r="C457" s="25"/>
      <c r="M457"/>
      <c r="N457"/>
      <c r="O457"/>
      <c r="P457"/>
      <c r="Q457"/>
      <c r="R457"/>
      <c r="S457"/>
      <c r="T457"/>
      <c r="U457"/>
      <c r="V457"/>
      <c r="W457"/>
      <c r="X457"/>
      <c r="Y457"/>
    </row>
    <row r="458" spans="1:25" s="3" customFormat="1" x14ac:dyDescent="0.45">
      <c r="A458" s="21"/>
      <c r="B458" s="29"/>
      <c r="C458" s="25"/>
      <c r="M458"/>
      <c r="N458"/>
      <c r="O458"/>
      <c r="P458"/>
      <c r="Q458"/>
      <c r="R458"/>
      <c r="S458"/>
      <c r="T458"/>
      <c r="U458"/>
      <c r="V458"/>
      <c r="W458"/>
      <c r="X458"/>
      <c r="Y458"/>
    </row>
    <row r="459" spans="1:25" s="3" customFormat="1" x14ac:dyDescent="0.45">
      <c r="A459" s="21"/>
      <c r="B459" s="29"/>
      <c r="C459" s="25"/>
      <c r="M459"/>
      <c r="N459"/>
      <c r="O459"/>
      <c r="P459"/>
      <c r="Q459"/>
      <c r="R459"/>
      <c r="S459"/>
      <c r="T459"/>
      <c r="U459"/>
      <c r="V459"/>
      <c r="W459"/>
      <c r="X459"/>
      <c r="Y459"/>
    </row>
    <row r="460" spans="1:25" s="3" customFormat="1" x14ac:dyDescent="0.45">
      <c r="A460" s="21"/>
      <c r="B460" s="29"/>
      <c r="C460" s="2"/>
      <c r="M460"/>
      <c r="N460"/>
      <c r="O460"/>
      <c r="P460"/>
      <c r="Q460"/>
      <c r="R460"/>
      <c r="S460"/>
      <c r="T460"/>
      <c r="U460"/>
      <c r="V460"/>
      <c r="W460"/>
      <c r="X460"/>
      <c r="Y460"/>
    </row>
    <row r="461" spans="1:25" s="3" customFormat="1" x14ac:dyDescent="0.45">
      <c r="A461" s="21"/>
      <c r="B461" s="29"/>
      <c r="C461" s="2"/>
      <c r="M461"/>
      <c r="N461"/>
      <c r="O461"/>
      <c r="P461"/>
      <c r="Q461"/>
      <c r="R461"/>
      <c r="S461"/>
      <c r="T461"/>
      <c r="U461"/>
      <c r="V461"/>
      <c r="W461"/>
      <c r="X461"/>
      <c r="Y461"/>
    </row>
    <row r="462" spans="1:25" s="3" customFormat="1" x14ac:dyDescent="0.45">
      <c r="A462" s="21"/>
      <c r="B462" s="29"/>
      <c r="C462" s="2"/>
      <c r="M462"/>
      <c r="N462"/>
      <c r="O462"/>
      <c r="P462"/>
      <c r="Q462"/>
      <c r="R462"/>
      <c r="S462"/>
      <c r="T462"/>
      <c r="U462"/>
      <c r="V462"/>
      <c r="W462"/>
      <c r="X462"/>
      <c r="Y462"/>
    </row>
    <row r="463" spans="1:25" s="3" customFormat="1" x14ac:dyDescent="0.45">
      <c r="A463" s="21"/>
      <c r="B463" s="29"/>
      <c r="C463" s="2"/>
      <c r="M463"/>
      <c r="N463"/>
      <c r="O463"/>
      <c r="P463"/>
      <c r="Q463"/>
      <c r="R463"/>
      <c r="S463"/>
      <c r="T463"/>
      <c r="U463"/>
      <c r="V463"/>
      <c r="W463"/>
      <c r="X463"/>
      <c r="Y463"/>
    </row>
    <row r="464" spans="1:25" s="3" customFormat="1" x14ac:dyDescent="0.45">
      <c r="A464" s="21"/>
      <c r="B464" s="29"/>
      <c r="C464" s="2"/>
      <c r="M464"/>
      <c r="N464"/>
      <c r="O464"/>
      <c r="P464"/>
      <c r="Q464"/>
      <c r="R464"/>
      <c r="S464"/>
      <c r="T464"/>
      <c r="U464"/>
      <c r="V464"/>
      <c r="W464"/>
      <c r="X464"/>
      <c r="Y464"/>
    </row>
    <row r="465" spans="1:25" s="3" customFormat="1" x14ac:dyDescent="0.45">
      <c r="A465" s="21"/>
      <c r="B465" s="29"/>
      <c r="C465" s="2"/>
      <c r="M465"/>
      <c r="N465"/>
      <c r="O465"/>
      <c r="P465"/>
      <c r="Q465"/>
      <c r="R465"/>
      <c r="S465"/>
      <c r="T465"/>
      <c r="U465"/>
      <c r="V465"/>
      <c r="W465"/>
      <c r="X465"/>
      <c r="Y465"/>
    </row>
    <row r="466" spans="1:25" s="3" customFormat="1" x14ac:dyDescent="0.45">
      <c r="A466" s="21"/>
      <c r="B466" s="29"/>
      <c r="C466" s="2"/>
      <c r="M466"/>
      <c r="N466"/>
      <c r="O466"/>
      <c r="P466"/>
      <c r="Q466"/>
      <c r="R466"/>
      <c r="S466"/>
      <c r="T466"/>
      <c r="U466"/>
      <c r="V466"/>
      <c r="W466"/>
      <c r="X466"/>
      <c r="Y466"/>
    </row>
    <row r="467" spans="1:25" s="3" customFormat="1" x14ac:dyDescent="0.45">
      <c r="A467" s="21"/>
      <c r="B467" s="29"/>
      <c r="C467" s="2"/>
      <c r="M467"/>
      <c r="N467"/>
      <c r="O467"/>
      <c r="P467"/>
      <c r="Q467"/>
      <c r="R467"/>
      <c r="S467"/>
      <c r="T467"/>
      <c r="U467"/>
      <c r="V467"/>
      <c r="W467"/>
      <c r="X467"/>
      <c r="Y467"/>
    </row>
    <row r="468" spans="1:25" s="3" customFormat="1" x14ac:dyDescent="0.45">
      <c r="A468" s="21"/>
      <c r="B468" s="29"/>
      <c r="C468" s="2"/>
      <c r="M468"/>
      <c r="N468"/>
      <c r="O468"/>
      <c r="P468"/>
      <c r="Q468"/>
      <c r="R468"/>
      <c r="S468"/>
      <c r="T468"/>
      <c r="U468"/>
      <c r="V468"/>
      <c r="W468"/>
      <c r="X468"/>
      <c r="Y468"/>
    </row>
    <row r="469" spans="1:25" s="3" customFormat="1" x14ac:dyDescent="0.45">
      <c r="A469" s="21"/>
      <c r="B469" s="29"/>
      <c r="C469" s="2"/>
      <c r="M469"/>
      <c r="N469"/>
      <c r="O469"/>
      <c r="P469"/>
      <c r="Q469"/>
      <c r="R469"/>
      <c r="S469"/>
      <c r="T469"/>
      <c r="U469"/>
      <c r="V469"/>
      <c r="W469"/>
      <c r="X469"/>
      <c r="Y469"/>
    </row>
    <row r="470" spans="1:25" s="3" customFormat="1" x14ac:dyDescent="0.45">
      <c r="A470" s="21"/>
      <c r="B470" s="29"/>
      <c r="C470" s="2"/>
      <c r="M470"/>
      <c r="N470"/>
      <c r="O470"/>
      <c r="P470"/>
      <c r="Q470"/>
      <c r="R470"/>
      <c r="S470"/>
      <c r="T470"/>
      <c r="U470"/>
      <c r="V470"/>
      <c r="W470"/>
      <c r="X470"/>
      <c r="Y470"/>
    </row>
    <row r="471" spans="1:25" s="3" customFormat="1" x14ac:dyDescent="0.45">
      <c r="A471" s="21"/>
      <c r="B471" s="29"/>
      <c r="C471" s="2"/>
      <c r="M471"/>
      <c r="N471"/>
      <c r="O471"/>
      <c r="P471"/>
      <c r="Q471"/>
      <c r="R471"/>
      <c r="S471"/>
      <c r="T471"/>
      <c r="U471"/>
      <c r="V471"/>
      <c r="W471"/>
      <c r="X471"/>
      <c r="Y471"/>
    </row>
    <row r="472" spans="1:25" s="3" customFormat="1" x14ac:dyDescent="0.45">
      <c r="A472" s="21"/>
      <c r="B472" s="29"/>
      <c r="C472" s="2"/>
      <c r="M472"/>
      <c r="N472"/>
      <c r="O472"/>
      <c r="P472"/>
      <c r="Q472"/>
      <c r="R472"/>
      <c r="S472"/>
      <c r="T472"/>
      <c r="U472"/>
      <c r="V472"/>
      <c r="W472"/>
      <c r="X472"/>
      <c r="Y472"/>
    </row>
    <row r="473" spans="1:25" s="3" customFormat="1" x14ac:dyDescent="0.45">
      <c r="A473" s="21"/>
      <c r="B473" s="29"/>
      <c r="C473" s="2"/>
      <c r="M473"/>
      <c r="N473"/>
      <c r="O473"/>
      <c r="P473"/>
      <c r="Q473"/>
      <c r="R473"/>
      <c r="S473"/>
      <c r="T473"/>
      <c r="U473"/>
      <c r="V473"/>
      <c r="W473"/>
      <c r="X473"/>
      <c r="Y473"/>
    </row>
    <row r="474" spans="1:25" s="3" customFormat="1" x14ac:dyDescent="0.45">
      <c r="A474" s="21"/>
      <c r="B474" s="29"/>
      <c r="C474" s="2"/>
      <c r="M474"/>
      <c r="N474"/>
      <c r="O474"/>
      <c r="P474"/>
      <c r="Q474"/>
      <c r="R474"/>
      <c r="S474"/>
      <c r="T474"/>
      <c r="U474"/>
      <c r="V474"/>
      <c r="W474"/>
      <c r="X474"/>
      <c r="Y474"/>
    </row>
    <row r="475" spans="1:25" s="3" customFormat="1" x14ac:dyDescent="0.45">
      <c r="A475" s="21"/>
      <c r="B475" s="29"/>
      <c r="C475" s="2"/>
      <c r="M475"/>
      <c r="N475"/>
      <c r="O475"/>
      <c r="P475"/>
      <c r="Q475"/>
      <c r="R475"/>
      <c r="S475"/>
      <c r="T475"/>
      <c r="U475"/>
      <c r="V475"/>
      <c r="W475"/>
      <c r="X475"/>
      <c r="Y475"/>
    </row>
    <row r="476" spans="1:25" s="3" customFormat="1" x14ac:dyDescent="0.45">
      <c r="A476" s="21"/>
      <c r="B476" s="29"/>
      <c r="C476" s="2"/>
      <c r="M476"/>
      <c r="N476"/>
      <c r="O476"/>
      <c r="P476"/>
      <c r="Q476"/>
      <c r="R476"/>
      <c r="S476"/>
      <c r="T476"/>
      <c r="U476"/>
      <c r="V476"/>
      <c r="W476"/>
      <c r="X476"/>
      <c r="Y476"/>
    </row>
    <row r="477" spans="1:25" s="3" customFormat="1" x14ac:dyDescent="0.45">
      <c r="A477" s="21"/>
      <c r="B477" s="29"/>
      <c r="C477" s="2"/>
      <c r="M477"/>
      <c r="N477"/>
      <c r="O477"/>
      <c r="P477"/>
      <c r="Q477"/>
      <c r="R477"/>
      <c r="S477"/>
      <c r="T477"/>
      <c r="U477"/>
      <c r="V477"/>
      <c r="W477"/>
      <c r="X477"/>
      <c r="Y477"/>
    </row>
    <row r="478" spans="1:25" s="3" customFormat="1" x14ac:dyDescent="0.45">
      <c r="A478" s="21"/>
      <c r="B478" s="29"/>
      <c r="C478" s="2"/>
      <c r="M478"/>
      <c r="N478"/>
      <c r="O478"/>
      <c r="P478"/>
      <c r="Q478"/>
      <c r="R478"/>
      <c r="S478"/>
      <c r="T478"/>
      <c r="U478"/>
      <c r="V478"/>
      <c r="W478"/>
      <c r="X478"/>
      <c r="Y478"/>
    </row>
    <row r="479" spans="1:25" s="3" customFormat="1" x14ac:dyDescent="0.45">
      <c r="A479" s="21"/>
      <c r="B479" s="29"/>
      <c r="C479" s="2"/>
      <c r="M479"/>
      <c r="N479"/>
      <c r="O479"/>
      <c r="P479"/>
      <c r="Q479"/>
      <c r="R479"/>
      <c r="S479"/>
      <c r="T479"/>
      <c r="U479"/>
      <c r="V479"/>
      <c r="W479"/>
      <c r="X479"/>
      <c r="Y479"/>
    </row>
    <row r="480" spans="1:25" s="3" customFormat="1" x14ac:dyDescent="0.45">
      <c r="A480" s="21"/>
      <c r="B480" s="29"/>
      <c r="C480" s="2"/>
      <c r="M480"/>
      <c r="N480"/>
      <c r="O480"/>
      <c r="P480"/>
      <c r="Q480"/>
      <c r="R480"/>
      <c r="S480"/>
      <c r="T480"/>
      <c r="U480"/>
      <c r="V480"/>
      <c r="W480"/>
      <c r="X480"/>
      <c r="Y480"/>
    </row>
    <row r="481" spans="1:25" s="3" customFormat="1" x14ac:dyDescent="0.45">
      <c r="A481" s="21"/>
      <c r="B481" s="29"/>
      <c r="C481" s="2"/>
      <c r="M481"/>
      <c r="N481"/>
      <c r="O481"/>
      <c r="P481"/>
      <c r="Q481"/>
      <c r="R481"/>
      <c r="S481"/>
      <c r="T481"/>
      <c r="U481"/>
      <c r="V481"/>
      <c r="W481"/>
      <c r="X481"/>
      <c r="Y481"/>
    </row>
    <row r="482" spans="1:25" s="3" customFormat="1" x14ac:dyDescent="0.45">
      <c r="A482" s="21"/>
      <c r="B482" s="29"/>
      <c r="C482" s="2"/>
      <c r="M482"/>
      <c r="N482"/>
      <c r="O482"/>
      <c r="P482"/>
      <c r="Q482"/>
      <c r="R482"/>
      <c r="S482"/>
      <c r="T482"/>
      <c r="U482"/>
      <c r="V482"/>
      <c r="W482"/>
      <c r="X482"/>
      <c r="Y482"/>
    </row>
    <row r="483" spans="1:25" s="3" customFormat="1" x14ac:dyDescent="0.45">
      <c r="A483" s="21"/>
      <c r="B483" s="29"/>
      <c r="C483" s="2"/>
      <c r="M483"/>
      <c r="N483"/>
      <c r="O483"/>
      <c r="P483"/>
      <c r="Q483"/>
      <c r="R483"/>
      <c r="S483"/>
      <c r="T483"/>
      <c r="U483"/>
      <c r="V483"/>
      <c r="W483"/>
      <c r="X483"/>
      <c r="Y483"/>
    </row>
    <row r="484" spans="1:25" s="3" customFormat="1" x14ac:dyDescent="0.45">
      <c r="A484" s="21"/>
      <c r="B484" s="29"/>
      <c r="C484" s="2"/>
      <c r="M484"/>
      <c r="N484"/>
      <c r="O484"/>
      <c r="P484"/>
      <c r="Q484"/>
      <c r="R484"/>
      <c r="S484"/>
      <c r="T484"/>
      <c r="U484"/>
      <c r="V484"/>
      <c r="W484"/>
      <c r="X484"/>
      <c r="Y484"/>
    </row>
    <row r="485" spans="1:25" s="3" customFormat="1" x14ac:dyDescent="0.45">
      <c r="A485" s="21"/>
      <c r="B485" s="29"/>
      <c r="C485" s="2"/>
      <c r="M485"/>
      <c r="N485"/>
      <c r="O485"/>
      <c r="P485"/>
      <c r="Q485"/>
      <c r="R485"/>
      <c r="S485"/>
      <c r="T485"/>
      <c r="U485"/>
      <c r="V485"/>
      <c r="W485"/>
      <c r="X485"/>
      <c r="Y485"/>
    </row>
    <row r="486" spans="1:25" s="3" customFormat="1" x14ac:dyDescent="0.45">
      <c r="A486" s="21"/>
      <c r="B486" s="29"/>
      <c r="C486" s="2"/>
      <c r="M486"/>
      <c r="N486"/>
      <c r="O486"/>
      <c r="P486"/>
      <c r="Q486"/>
      <c r="R486"/>
      <c r="S486"/>
      <c r="T486"/>
      <c r="U486"/>
      <c r="V486"/>
      <c r="W486"/>
      <c r="X486"/>
      <c r="Y486"/>
    </row>
    <row r="487" spans="1:25" s="3" customFormat="1" x14ac:dyDescent="0.45">
      <c r="A487" s="21"/>
      <c r="B487" s="29"/>
      <c r="C487" s="2"/>
      <c r="M487"/>
      <c r="N487"/>
      <c r="O487"/>
      <c r="P487"/>
      <c r="Q487"/>
      <c r="R487"/>
      <c r="S487"/>
      <c r="T487"/>
      <c r="U487"/>
      <c r="V487"/>
      <c r="W487"/>
      <c r="X487"/>
      <c r="Y487"/>
    </row>
    <row r="488" spans="1:25" s="3" customFormat="1" x14ac:dyDescent="0.45">
      <c r="A488" s="21"/>
      <c r="B488" s="29"/>
      <c r="C488" s="2"/>
      <c r="M488"/>
      <c r="N488"/>
      <c r="O488"/>
      <c r="P488"/>
      <c r="Q488"/>
      <c r="R488"/>
      <c r="S488"/>
      <c r="T488"/>
      <c r="U488"/>
      <c r="V488"/>
      <c r="W488"/>
      <c r="X488"/>
      <c r="Y488"/>
    </row>
    <row r="489" spans="1:25" s="3" customFormat="1" x14ac:dyDescent="0.45">
      <c r="A489" s="21"/>
      <c r="B489" s="29"/>
      <c r="C489" s="2"/>
      <c r="M489"/>
      <c r="N489"/>
      <c r="O489"/>
      <c r="P489"/>
      <c r="Q489"/>
      <c r="R489"/>
      <c r="S489"/>
      <c r="T489"/>
      <c r="U489"/>
      <c r="V489"/>
      <c r="W489"/>
      <c r="X489"/>
      <c r="Y489"/>
    </row>
    <row r="490" spans="1:25" s="3" customFormat="1" x14ac:dyDescent="0.45">
      <c r="A490" s="21"/>
      <c r="B490" s="29"/>
      <c r="C490" s="2"/>
      <c r="M490"/>
      <c r="N490"/>
      <c r="O490"/>
      <c r="P490"/>
      <c r="Q490"/>
      <c r="R490"/>
      <c r="S490"/>
      <c r="T490"/>
      <c r="U490"/>
      <c r="V490"/>
      <c r="W490"/>
      <c r="X490"/>
      <c r="Y490"/>
    </row>
    <row r="491" spans="1:25" s="3" customFormat="1" x14ac:dyDescent="0.45">
      <c r="A491" s="21"/>
      <c r="B491" s="29"/>
      <c r="C491" s="2"/>
      <c r="M491"/>
      <c r="N491"/>
      <c r="O491"/>
      <c r="P491"/>
      <c r="Q491"/>
      <c r="R491"/>
      <c r="S491"/>
      <c r="T491"/>
      <c r="U491"/>
      <c r="V491"/>
      <c r="W491"/>
      <c r="X491"/>
      <c r="Y491"/>
    </row>
    <row r="492" spans="1:25" s="3" customFormat="1" x14ac:dyDescent="0.45">
      <c r="A492" s="21"/>
      <c r="B492" s="29"/>
      <c r="C492" s="2"/>
      <c r="M492"/>
      <c r="N492"/>
      <c r="O492"/>
      <c r="P492"/>
      <c r="Q492"/>
      <c r="R492"/>
      <c r="S492"/>
      <c r="T492"/>
      <c r="U492"/>
      <c r="V492"/>
      <c r="W492"/>
      <c r="X492"/>
      <c r="Y492"/>
    </row>
    <row r="493" spans="1:25" s="3" customFormat="1" x14ac:dyDescent="0.45">
      <c r="A493" s="21"/>
      <c r="B493" s="29"/>
      <c r="C493" s="2"/>
      <c r="M493"/>
      <c r="N493"/>
      <c r="O493"/>
      <c r="P493"/>
      <c r="Q493"/>
      <c r="R493"/>
      <c r="S493"/>
      <c r="T493"/>
      <c r="U493"/>
      <c r="V493"/>
      <c r="W493"/>
      <c r="X493"/>
      <c r="Y493"/>
    </row>
    <row r="494" spans="1:25" s="3" customFormat="1" x14ac:dyDescent="0.45">
      <c r="A494" s="21"/>
      <c r="B494" s="29"/>
      <c r="C494" s="2"/>
      <c r="M494"/>
      <c r="N494"/>
      <c r="O494"/>
      <c r="P494"/>
      <c r="Q494"/>
      <c r="R494"/>
      <c r="S494"/>
      <c r="T494"/>
      <c r="U494"/>
      <c r="V494"/>
      <c r="W494"/>
      <c r="X494"/>
      <c r="Y494"/>
    </row>
    <row r="495" spans="1:25" s="3" customFormat="1" x14ac:dyDescent="0.45">
      <c r="A495" s="21"/>
      <c r="B495" s="29"/>
      <c r="C495" s="2"/>
      <c r="M495"/>
      <c r="N495"/>
      <c r="O495"/>
      <c r="P495"/>
      <c r="Q495"/>
      <c r="R495"/>
      <c r="S495"/>
      <c r="T495"/>
      <c r="U495"/>
      <c r="V495"/>
      <c r="W495"/>
      <c r="X495"/>
      <c r="Y495"/>
    </row>
    <row r="496" spans="1:25" s="3" customFormat="1" x14ac:dyDescent="0.45">
      <c r="A496" s="21"/>
      <c r="B496" s="29"/>
      <c r="C496" s="2"/>
      <c r="M496"/>
      <c r="N496"/>
      <c r="O496"/>
      <c r="P496"/>
      <c r="Q496"/>
      <c r="R496"/>
      <c r="S496"/>
      <c r="T496"/>
      <c r="U496"/>
      <c r="V496"/>
      <c r="W496"/>
      <c r="X496"/>
      <c r="Y496"/>
    </row>
    <row r="497" spans="1:25" s="3" customFormat="1" x14ac:dyDescent="0.45">
      <c r="A497" s="21"/>
      <c r="B497" s="29"/>
      <c r="C497" s="2"/>
      <c r="M497"/>
      <c r="N497"/>
      <c r="O497"/>
      <c r="P497"/>
      <c r="Q497"/>
      <c r="R497"/>
      <c r="S497"/>
      <c r="T497"/>
      <c r="U497"/>
      <c r="V497"/>
      <c r="W497"/>
      <c r="X497"/>
      <c r="Y497"/>
    </row>
    <row r="498" spans="1:25" s="3" customFormat="1" x14ac:dyDescent="0.45">
      <c r="A498" s="21"/>
      <c r="B498" s="29"/>
      <c r="C498" s="2"/>
      <c r="M498"/>
      <c r="N498"/>
      <c r="O498"/>
      <c r="P498"/>
      <c r="Q498"/>
      <c r="R498"/>
      <c r="S498"/>
      <c r="T498"/>
      <c r="U498"/>
      <c r="V498"/>
      <c r="W498"/>
      <c r="X498"/>
      <c r="Y498"/>
    </row>
    <row r="499" spans="1:25" s="3" customFormat="1" x14ac:dyDescent="0.45">
      <c r="A499" s="21"/>
      <c r="B499" s="29"/>
      <c r="C499" s="2"/>
      <c r="M499"/>
      <c r="N499"/>
      <c r="O499"/>
      <c r="P499"/>
      <c r="Q499"/>
      <c r="R499"/>
      <c r="S499"/>
      <c r="T499"/>
      <c r="U499"/>
      <c r="V499"/>
      <c r="W499"/>
      <c r="X499"/>
      <c r="Y499"/>
    </row>
    <row r="500" spans="1:25" s="3" customFormat="1" x14ac:dyDescent="0.45">
      <c r="A500" s="21"/>
      <c r="B500" s="29"/>
      <c r="C500" s="2"/>
      <c r="M500"/>
      <c r="N500"/>
      <c r="O500"/>
      <c r="P500"/>
      <c r="Q500"/>
      <c r="R500"/>
      <c r="S500"/>
      <c r="T500"/>
      <c r="U500"/>
      <c r="V500"/>
      <c r="W500"/>
      <c r="X500"/>
      <c r="Y500"/>
    </row>
    <row r="501" spans="1:25" s="3" customFormat="1" x14ac:dyDescent="0.45">
      <c r="A501" s="21"/>
      <c r="B501" s="29"/>
      <c r="C501" s="2"/>
      <c r="M501"/>
      <c r="N501"/>
      <c r="O501"/>
      <c r="P501"/>
      <c r="Q501"/>
      <c r="R501"/>
      <c r="S501"/>
      <c r="T501"/>
      <c r="U501"/>
      <c r="V501"/>
      <c r="W501"/>
      <c r="X501"/>
      <c r="Y501"/>
    </row>
    <row r="502" spans="1:25" s="3" customFormat="1" x14ac:dyDescent="0.45">
      <c r="A502" s="21"/>
      <c r="B502" s="29"/>
      <c r="C502" s="2"/>
      <c r="M502"/>
      <c r="N502"/>
      <c r="O502"/>
      <c r="P502"/>
      <c r="Q502"/>
      <c r="R502"/>
      <c r="S502"/>
      <c r="T502"/>
      <c r="U502"/>
      <c r="V502"/>
      <c r="W502"/>
      <c r="X502"/>
      <c r="Y502"/>
    </row>
    <row r="503" spans="1:25" s="3" customFormat="1" x14ac:dyDescent="0.45">
      <c r="A503" s="21"/>
      <c r="B503" s="29"/>
      <c r="C503" s="2"/>
      <c r="M503"/>
      <c r="N503"/>
      <c r="O503"/>
      <c r="P503"/>
      <c r="Q503"/>
      <c r="R503"/>
      <c r="S503"/>
      <c r="T503"/>
      <c r="U503"/>
      <c r="V503"/>
      <c r="W503"/>
      <c r="X503"/>
      <c r="Y503"/>
    </row>
    <row r="504" spans="1:25" s="3" customFormat="1" x14ac:dyDescent="0.45">
      <c r="A504" s="21"/>
      <c r="B504" s="29"/>
      <c r="C504" s="2"/>
      <c r="M504"/>
      <c r="N504"/>
      <c r="O504"/>
      <c r="P504"/>
      <c r="Q504"/>
      <c r="R504"/>
      <c r="S504"/>
      <c r="T504"/>
      <c r="U504"/>
      <c r="V504"/>
      <c r="W504"/>
      <c r="X504"/>
      <c r="Y504"/>
    </row>
    <row r="505" spans="1:25" s="3" customFormat="1" x14ac:dyDescent="0.45">
      <c r="A505" s="21"/>
      <c r="B505" s="29"/>
      <c r="C505" s="2"/>
      <c r="M505"/>
      <c r="N505"/>
      <c r="O505"/>
      <c r="P505"/>
      <c r="Q505"/>
      <c r="R505"/>
      <c r="S505"/>
      <c r="T505"/>
      <c r="U505"/>
      <c r="V505"/>
      <c r="W505"/>
      <c r="X505"/>
      <c r="Y505"/>
    </row>
    <row r="506" spans="1:25" s="3" customFormat="1" x14ac:dyDescent="0.45">
      <c r="A506" s="21"/>
      <c r="B506" s="29"/>
      <c r="C506" s="2"/>
      <c r="M506"/>
      <c r="N506"/>
      <c r="O506"/>
      <c r="P506"/>
      <c r="Q506"/>
      <c r="R506"/>
      <c r="S506"/>
      <c r="T506"/>
      <c r="U506"/>
      <c r="V506"/>
      <c r="W506"/>
      <c r="X506"/>
      <c r="Y506"/>
    </row>
    <row r="507" spans="1:25" s="3" customFormat="1" x14ac:dyDescent="0.45">
      <c r="A507" s="21"/>
      <c r="B507" s="29"/>
      <c r="C507" s="2"/>
      <c r="M507"/>
      <c r="N507"/>
      <c r="O507"/>
      <c r="P507"/>
      <c r="Q507"/>
      <c r="R507"/>
      <c r="S507"/>
      <c r="T507"/>
      <c r="U507"/>
      <c r="V507"/>
      <c r="W507"/>
      <c r="X507"/>
      <c r="Y507"/>
    </row>
    <row r="508" spans="1:25" s="3" customFormat="1" x14ac:dyDescent="0.45">
      <c r="A508" s="21"/>
      <c r="B508" s="29"/>
      <c r="C508" s="2"/>
      <c r="M508"/>
      <c r="N508"/>
      <c r="O508"/>
      <c r="P508"/>
      <c r="Q508"/>
      <c r="R508"/>
      <c r="S508"/>
      <c r="T508"/>
      <c r="U508"/>
      <c r="V508"/>
      <c r="W508"/>
      <c r="X508"/>
      <c r="Y508"/>
    </row>
    <row r="509" spans="1:25" s="3" customFormat="1" x14ac:dyDescent="0.45">
      <c r="A509" s="21"/>
      <c r="B509" s="29"/>
      <c r="C509" s="2"/>
      <c r="M509"/>
      <c r="N509"/>
      <c r="O509"/>
      <c r="P509"/>
      <c r="Q509"/>
      <c r="R509"/>
      <c r="S509"/>
      <c r="T509"/>
      <c r="U509"/>
      <c r="V509"/>
      <c r="W509"/>
      <c r="X509"/>
      <c r="Y509"/>
    </row>
    <row r="510" spans="1:25" s="3" customFormat="1" x14ac:dyDescent="0.45">
      <c r="A510" s="21"/>
      <c r="B510" s="29"/>
      <c r="C510" s="2"/>
      <c r="M510"/>
      <c r="N510"/>
      <c r="O510"/>
      <c r="P510"/>
      <c r="Q510"/>
      <c r="R510"/>
      <c r="S510"/>
      <c r="T510"/>
      <c r="U510"/>
      <c r="V510"/>
      <c r="W510"/>
      <c r="X510"/>
      <c r="Y510"/>
    </row>
    <row r="511" spans="1:25" s="3" customFormat="1" x14ac:dyDescent="0.45">
      <c r="A511" s="21"/>
      <c r="B511" s="29"/>
      <c r="C511" s="2"/>
      <c r="M511"/>
      <c r="N511"/>
      <c r="O511"/>
      <c r="P511"/>
      <c r="Q511"/>
      <c r="R511"/>
      <c r="S511"/>
      <c r="T511"/>
      <c r="U511"/>
      <c r="V511"/>
      <c r="W511"/>
      <c r="X511"/>
      <c r="Y511"/>
    </row>
    <row r="512" spans="1:25" s="3" customFormat="1" x14ac:dyDescent="0.45">
      <c r="A512" s="21"/>
      <c r="B512" s="29"/>
      <c r="C512" s="2"/>
      <c r="M512"/>
      <c r="N512"/>
      <c r="O512"/>
      <c r="P512"/>
      <c r="Q512"/>
      <c r="R512"/>
      <c r="S512"/>
      <c r="T512"/>
      <c r="U512"/>
      <c r="V512"/>
      <c r="W512"/>
      <c r="X512"/>
      <c r="Y512"/>
    </row>
    <row r="513" spans="1:25" s="3" customFormat="1" x14ac:dyDescent="0.45">
      <c r="A513" s="21"/>
      <c r="B513" s="29"/>
      <c r="C513" s="2"/>
      <c r="M513"/>
      <c r="N513"/>
      <c r="O513"/>
      <c r="P513"/>
      <c r="Q513"/>
      <c r="R513"/>
      <c r="S513"/>
      <c r="T513"/>
      <c r="U513"/>
      <c r="V513"/>
      <c r="W513"/>
      <c r="X513"/>
      <c r="Y513"/>
    </row>
    <row r="514" spans="1:25" s="3" customFormat="1" x14ac:dyDescent="0.45">
      <c r="A514" s="21"/>
      <c r="B514" s="29"/>
      <c r="C514" s="2"/>
      <c r="M514"/>
      <c r="N514"/>
      <c r="O514"/>
      <c r="P514"/>
      <c r="Q514"/>
      <c r="R514"/>
      <c r="S514"/>
      <c r="T514"/>
      <c r="U514"/>
      <c r="V514"/>
      <c r="W514"/>
      <c r="X514"/>
      <c r="Y514"/>
    </row>
    <row r="515" spans="1:25" s="3" customFormat="1" x14ac:dyDescent="0.45">
      <c r="A515" s="21"/>
      <c r="B515" s="29"/>
      <c r="C515" s="2"/>
      <c r="M515"/>
      <c r="N515"/>
      <c r="O515"/>
      <c r="P515"/>
      <c r="Q515"/>
      <c r="R515"/>
      <c r="S515"/>
      <c r="T515"/>
      <c r="U515"/>
      <c r="V515"/>
      <c r="W515"/>
      <c r="X515"/>
      <c r="Y515"/>
    </row>
    <row r="516" spans="1:25" s="3" customFormat="1" x14ac:dyDescent="0.45">
      <c r="A516" s="21"/>
      <c r="B516" s="29"/>
      <c r="C516" s="2"/>
      <c r="M516"/>
      <c r="N516"/>
      <c r="O516"/>
      <c r="P516"/>
      <c r="Q516"/>
      <c r="R516"/>
      <c r="S516"/>
      <c r="T516"/>
      <c r="U516"/>
      <c r="V516"/>
      <c r="W516"/>
      <c r="X516"/>
      <c r="Y516"/>
    </row>
    <row r="517" spans="1:25" s="3" customFormat="1" x14ac:dyDescent="0.45">
      <c r="A517" s="21"/>
      <c r="B517" s="29"/>
      <c r="C517" s="2"/>
      <c r="M517"/>
      <c r="N517"/>
      <c r="O517"/>
      <c r="P517"/>
      <c r="Q517"/>
      <c r="R517"/>
      <c r="S517"/>
      <c r="T517"/>
      <c r="U517"/>
      <c r="V517"/>
      <c r="W517"/>
      <c r="X517"/>
      <c r="Y517"/>
    </row>
    <row r="518" spans="1:25" s="3" customFormat="1" x14ac:dyDescent="0.45">
      <c r="A518" s="21"/>
      <c r="B518" s="29"/>
      <c r="C518" s="2"/>
      <c r="M518"/>
      <c r="N518"/>
      <c r="O518"/>
      <c r="P518"/>
      <c r="Q518"/>
      <c r="R518"/>
      <c r="S518"/>
      <c r="T518"/>
      <c r="U518"/>
      <c r="V518"/>
      <c r="W518"/>
      <c r="X518"/>
      <c r="Y518"/>
    </row>
    <row r="519" spans="1:25" s="3" customFormat="1" x14ac:dyDescent="0.45">
      <c r="A519" s="21"/>
      <c r="B519" s="29"/>
      <c r="C519" s="2"/>
      <c r="M519"/>
      <c r="N519"/>
      <c r="O519"/>
      <c r="P519"/>
      <c r="Q519"/>
      <c r="R519"/>
      <c r="S519"/>
      <c r="T519"/>
      <c r="U519"/>
      <c r="V519"/>
      <c r="W519"/>
      <c r="X519"/>
      <c r="Y519"/>
    </row>
    <row r="520" spans="1:25" s="3" customFormat="1" x14ac:dyDescent="0.45">
      <c r="A520" s="21"/>
      <c r="B520" s="29"/>
      <c r="C520" s="2"/>
      <c r="M520"/>
      <c r="N520"/>
      <c r="O520"/>
      <c r="P520"/>
      <c r="Q520"/>
      <c r="R520"/>
      <c r="S520"/>
      <c r="T520"/>
      <c r="U520"/>
      <c r="V520"/>
      <c r="W520"/>
      <c r="X520"/>
      <c r="Y520"/>
    </row>
    <row r="521" spans="1:25" s="3" customFormat="1" x14ac:dyDescent="0.45">
      <c r="A521" s="21"/>
      <c r="B521" s="29"/>
      <c r="C521" s="2"/>
      <c r="M521"/>
      <c r="N521"/>
      <c r="O521"/>
      <c r="P521"/>
      <c r="Q521"/>
      <c r="R521"/>
      <c r="S521"/>
      <c r="T521"/>
      <c r="U521"/>
      <c r="V521"/>
      <c r="W521"/>
      <c r="X521"/>
      <c r="Y521"/>
    </row>
    <row r="522" spans="1:25" s="3" customFormat="1" x14ac:dyDescent="0.45">
      <c r="A522" s="21"/>
      <c r="B522" s="29"/>
      <c r="C522" s="2"/>
      <c r="M522"/>
      <c r="N522"/>
      <c r="O522"/>
      <c r="P522"/>
      <c r="Q522"/>
      <c r="R522"/>
      <c r="S522"/>
      <c r="T522"/>
      <c r="U522"/>
      <c r="V522"/>
      <c r="W522"/>
      <c r="X522"/>
      <c r="Y522"/>
    </row>
    <row r="523" spans="1:25" s="3" customFormat="1" x14ac:dyDescent="0.45">
      <c r="A523" s="21"/>
      <c r="B523" s="29"/>
      <c r="C523" s="2"/>
      <c r="M523"/>
      <c r="N523"/>
      <c r="O523"/>
      <c r="P523"/>
      <c r="Q523"/>
      <c r="R523"/>
      <c r="S523"/>
      <c r="T523"/>
      <c r="U523"/>
      <c r="V523"/>
      <c r="W523"/>
      <c r="X523"/>
      <c r="Y523"/>
    </row>
    <row r="524" spans="1:25" s="3" customFormat="1" x14ac:dyDescent="0.45">
      <c r="A524" s="21"/>
      <c r="B524" s="29"/>
      <c r="C524" s="2"/>
      <c r="M524"/>
      <c r="N524"/>
      <c r="O524"/>
      <c r="P524"/>
      <c r="Q524"/>
      <c r="R524"/>
      <c r="S524"/>
      <c r="T524"/>
      <c r="U524"/>
      <c r="V524"/>
      <c r="W524"/>
      <c r="X524"/>
      <c r="Y524"/>
    </row>
    <row r="525" spans="1:25" s="3" customFormat="1" x14ac:dyDescent="0.45">
      <c r="A525" s="21"/>
      <c r="B525" s="29"/>
      <c r="C525" s="2"/>
      <c r="M525"/>
      <c r="N525"/>
      <c r="O525"/>
      <c r="P525"/>
      <c r="Q525"/>
      <c r="R525"/>
      <c r="S525"/>
      <c r="T525"/>
      <c r="U525"/>
      <c r="V525"/>
      <c r="W525"/>
      <c r="X525"/>
      <c r="Y525"/>
    </row>
    <row r="526" spans="1:25" s="3" customFormat="1" x14ac:dyDescent="0.45">
      <c r="A526" s="21"/>
      <c r="B526" s="29"/>
      <c r="C526" s="2"/>
      <c r="M526"/>
      <c r="N526"/>
      <c r="O526"/>
      <c r="P526"/>
      <c r="Q526"/>
      <c r="R526"/>
      <c r="S526"/>
      <c r="T526"/>
      <c r="U526"/>
      <c r="V526"/>
      <c r="W526"/>
      <c r="X526"/>
      <c r="Y526"/>
    </row>
    <row r="527" spans="1:25" s="3" customFormat="1" x14ac:dyDescent="0.45">
      <c r="A527" s="21"/>
      <c r="B527" s="29"/>
      <c r="C527" s="2"/>
      <c r="M527"/>
      <c r="N527"/>
      <c r="O527"/>
      <c r="P527"/>
      <c r="Q527"/>
      <c r="R527"/>
      <c r="S527"/>
      <c r="T527"/>
      <c r="U527"/>
      <c r="V527"/>
      <c r="W527"/>
      <c r="X527"/>
      <c r="Y527"/>
    </row>
    <row r="528" spans="1:25" s="3" customFormat="1" x14ac:dyDescent="0.45">
      <c r="A528" s="21"/>
      <c r="B528" s="29"/>
      <c r="C528" s="2"/>
      <c r="M528"/>
      <c r="N528"/>
      <c r="O528"/>
      <c r="P528"/>
      <c r="Q528"/>
      <c r="R528"/>
      <c r="S528"/>
      <c r="T528"/>
      <c r="U528"/>
      <c r="V528"/>
      <c r="W528"/>
      <c r="X528"/>
      <c r="Y528"/>
    </row>
    <row r="529" spans="1:25" s="29" customFormat="1" x14ac:dyDescent="0.45">
      <c r="A529" s="21"/>
      <c r="C529" s="2"/>
      <c r="D529" s="3"/>
      <c r="E529" s="3"/>
      <c r="F529" s="3"/>
      <c r="G529" s="3"/>
      <c r="H529" s="3"/>
      <c r="I529" s="3"/>
      <c r="J529" s="3"/>
      <c r="K529" s="3"/>
      <c r="L529" s="3"/>
      <c r="M529"/>
      <c r="N529"/>
      <c r="O529"/>
      <c r="P529"/>
      <c r="Q529"/>
      <c r="R529"/>
      <c r="S529"/>
      <c r="T529"/>
      <c r="U529"/>
      <c r="V529"/>
      <c r="W529"/>
      <c r="X529"/>
      <c r="Y529"/>
    </row>
    <row r="530" spans="1:25" s="29" customFormat="1" x14ac:dyDescent="0.45">
      <c r="A530" s="21"/>
      <c r="C530" s="2"/>
      <c r="D530" s="3"/>
      <c r="E530" s="3"/>
      <c r="F530" s="3"/>
      <c r="G530" s="3"/>
      <c r="H530" s="3"/>
      <c r="I530" s="3"/>
      <c r="J530" s="3"/>
      <c r="K530" s="3"/>
      <c r="L530" s="3"/>
      <c r="M530"/>
      <c r="N530"/>
      <c r="O530"/>
      <c r="P530"/>
      <c r="Q530"/>
      <c r="R530"/>
      <c r="S530"/>
      <c r="T530"/>
      <c r="U530"/>
      <c r="V530"/>
      <c r="W530"/>
      <c r="X530"/>
      <c r="Y530"/>
    </row>
    <row r="531" spans="1:25" s="29" customFormat="1" x14ac:dyDescent="0.45">
      <c r="A531" s="21"/>
      <c r="C531" s="2"/>
      <c r="D531" s="3"/>
      <c r="E531" s="3"/>
      <c r="F531" s="3"/>
      <c r="G531" s="3"/>
      <c r="H531" s="3"/>
      <c r="I531" s="3"/>
      <c r="J531" s="3"/>
      <c r="K531" s="3"/>
      <c r="L531" s="3"/>
      <c r="M531"/>
      <c r="N531"/>
      <c r="O531"/>
      <c r="P531"/>
      <c r="Q531"/>
      <c r="R531"/>
      <c r="S531"/>
      <c r="T531"/>
      <c r="U531"/>
      <c r="V531"/>
      <c r="W531"/>
      <c r="X531"/>
      <c r="Y531"/>
    </row>
    <row r="532" spans="1:25" s="29" customFormat="1" x14ac:dyDescent="0.45">
      <c r="A532" s="21"/>
      <c r="C532" s="2"/>
      <c r="D532" s="3"/>
      <c r="E532" s="3"/>
      <c r="F532" s="3"/>
      <c r="G532" s="3"/>
      <c r="H532" s="3"/>
      <c r="I532" s="3"/>
      <c r="J532" s="3"/>
      <c r="K532" s="3"/>
      <c r="L532" s="3"/>
      <c r="M532"/>
      <c r="N532"/>
      <c r="O532"/>
      <c r="P532"/>
      <c r="Q532"/>
      <c r="R532"/>
      <c r="S532"/>
      <c r="T532"/>
      <c r="U532"/>
      <c r="V532"/>
      <c r="W532"/>
      <c r="X532"/>
      <c r="Y532"/>
    </row>
    <row r="533" spans="1:25" s="29" customFormat="1" x14ac:dyDescent="0.45">
      <c r="A533" s="21"/>
      <c r="C533" s="2"/>
      <c r="D533" s="3"/>
      <c r="E533" s="3"/>
      <c r="F533" s="3"/>
      <c r="G533" s="3"/>
      <c r="H533" s="3"/>
      <c r="I533" s="3"/>
      <c r="J533" s="3"/>
      <c r="K533" s="3"/>
      <c r="L533" s="3"/>
      <c r="M533"/>
      <c r="N533"/>
      <c r="O533"/>
      <c r="P533"/>
      <c r="Q533"/>
      <c r="R533"/>
      <c r="S533"/>
      <c r="T533"/>
      <c r="U533"/>
      <c r="V533"/>
      <c r="W533"/>
      <c r="X533"/>
      <c r="Y533"/>
    </row>
    <row r="534" spans="1:25" s="29" customFormat="1" x14ac:dyDescent="0.45">
      <c r="A534" s="21"/>
      <c r="C534" s="2"/>
      <c r="D534" s="3"/>
      <c r="E534" s="3"/>
      <c r="F534" s="3"/>
      <c r="G534" s="3"/>
      <c r="H534" s="3"/>
      <c r="I534" s="3"/>
      <c r="J534" s="3"/>
      <c r="K534" s="3"/>
      <c r="L534" s="3"/>
      <c r="M534"/>
      <c r="N534"/>
      <c r="O534"/>
      <c r="P534"/>
      <c r="Q534"/>
      <c r="R534"/>
      <c r="S534"/>
      <c r="T534"/>
      <c r="U534"/>
      <c r="V534"/>
      <c r="W534"/>
      <c r="X534"/>
      <c r="Y534"/>
    </row>
    <row r="535" spans="1:25" s="29" customFormat="1" x14ac:dyDescent="0.45">
      <c r="A535" s="21"/>
      <c r="C535" s="2"/>
      <c r="D535" s="3"/>
      <c r="E535" s="3"/>
      <c r="F535" s="3"/>
      <c r="G535" s="3"/>
      <c r="H535" s="3"/>
      <c r="I535" s="3"/>
      <c r="J535" s="3"/>
      <c r="K535" s="3"/>
      <c r="L535" s="3"/>
      <c r="M535"/>
      <c r="N535"/>
      <c r="O535"/>
      <c r="P535"/>
      <c r="Q535"/>
      <c r="R535"/>
      <c r="S535"/>
      <c r="T535"/>
      <c r="U535"/>
      <c r="V535"/>
      <c r="W535"/>
      <c r="X535"/>
      <c r="Y535"/>
    </row>
    <row r="536" spans="1:25" s="29" customFormat="1" x14ac:dyDescent="0.45">
      <c r="A536" s="21"/>
      <c r="C536" s="2"/>
      <c r="D536" s="3"/>
      <c r="E536" s="3"/>
      <c r="F536" s="3"/>
      <c r="G536" s="3"/>
      <c r="H536" s="3"/>
      <c r="I536" s="3"/>
      <c r="J536" s="3"/>
      <c r="K536" s="3"/>
      <c r="L536" s="3"/>
      <c r="M536"/>
      <c r="N536"/>
      <c r="O536"/>
      <c r="P536"/>
      <c r="Q536"/>
      <c r="R536"/>
      <c r="S536"/>
      <c r="T536"/>
      <c r="U536"/>
      <c r="V536"/>
      <c r="W536"/>
      <c r="X536"/>
      <c r="Y536"/>
    </row>
    <row r="537" spans="1:25" s="29" customFormat="1" x14ac:dyDescent="0.45">
      <c r="A537" s="21"/>
      <c r="C537" s="2"/>
      <c r="D537" s="3"/>
      <c r="E537" s="3"/>
      <c r="F537" s="3"/>
      <c r="G537" s="3"/>
      <c r="H537" s="3"/>
      <c r="I537" s="3"/>
      <c r="J537" s="3"/>
      <c r="K537" s="3"/>
      <c r="L537" s="3"/>
      <c r="M537"/>
      <c r="N537"/>
      <c r="O537"/>
      <c r="P537"/>
      <c r="Q537"/>
      <c r="R537"/>
      <c r="S537"/>
      <c r="T537"/>
      <c r="U537"/>
      <c r="V537"/>
      <c r="W537"/>
      <c r="X537"/>
      <c r="Y537"/>
    </row>
    <row r="538" spans="1:25" s="29" customFormat="1" x14ac:dyDescent="0.45">
      <c r="A538" s="21"/>
      <c r="C538" s="2"/>
      <c r="D538" s="3"/>
      <c r="E538" s="3"/>
      <c r="F538" s="3"/>
      <c r="G538" s="3"/>
      <c r="H538" s="3"/>
      <c r="I538" s="3"/>
      <c r="J538" s="3"/>
      <c r="K538" s="3"/>
      <c r="L538" s="3"/>
      <c r="M538"/>
      <c r="N538"/>
      <c r="O538"/>
      <c r="P538"/>
      <c r="Q538"/>
      <c r="R538"/>
      <c r="S538"/>
      <c r="T538"/>
      <c r="U538"/>
      <c r="V538"/>
      <c r="W538"/>
      <c r="X538"/>
      <c r="Y538"/>
    </row>
    <row r="539" spans="1:25" s="29" customFormat="1" x14ac:dyDescent="0.45">
      <c r="A539" s="21"/>
      <c r="C539" s="2"/>
      <c r="D539" s="3"/>
      <c r="E539" s="3"/>
      <c r="F539" s="3"/>
      <c r="G539" s="3"/>
      <c r="H539" s="3"/>
      <c r="I539" s="3"/>
      <c r="J539" s="3"/>
      <c r="K539" s="3"/>
      <c r="L539" s="3"/>
      <c r="M539"/>
      <c r="N539"/>
      <c r="O539"/>
      <c r="P539"/>
      <c r="Q539"/>
      <c r="R539"/>
      <c r="S539"/>
      <c r="T539"/>
      <c r="U539"/>
      <c r="V539"/>
      <c r="W539"/>
      <c r="X539"/>
      <c r="Y539"/>
    </row>
    <row r="540" spans="1:25" s="29" customFormat="1" x14ac:dyDescent="0.45">
      <c r="A540" s="21"/>
      <c r="C540" s="2"/>
      <c r="D540" s="3"/>
      <c r="E540" s="3"/>
      <c r="F540" s="3"/>
      <c r="G540" s="3"/>
      <c r="H540" s="3"/>
      <c r="I540" s="3"/>
      <c r="J540" s="3"/>
      <c r="K540" s="3"/>
      <c r="L540" s="3"/>
      <c r="M540"/>
      <c r="N540"/>
      <c r="O540"/>
      <c r="P540"/>
      <c r="Q540"/>
      <c r="R540"/>
      <c r="S540"/>
      <c r="T540"/>
      <c r="U540"/>
      <c r="V540"/>
      <c r="W540"/>
      <c r="X540"/>
      <c r="Y540"/>
    </row>
    <row r="541" spans="1:25" s="29" customFormat="1" x14ac:dyDescent="0.45">
      <c r="A541" s="21"/>
      <c r="C541" s="2"/>
      <c r="D541" s="3"/>
      <c r="E541" s="3"/>
      <c r="F541" s="3"/>
      <c r="G541" s="3"/>
      <c r="H541" s="3"/>
      <c r="I541" s="3"/>
      <c r="J541" s="3"/>
      <c r="K541" s="3"/>
      <c r="L541" s="3"/>
      <c r="M541"/>
      <c r="N541"/>
      <c r="O541"/>
      <c r="P541"/>
      <c r="Q541"/>
      <c r="R541"/>
      <c r="S541"/>
      <c r="T541"/>
      <c r="U541"/>
      <c r="V541"/>
      <c r="W541"/>
      <c r="X541"/>
      <c r="Y541"/>
    </row>
    <row r="542" spans="1:25" s="29" customFormat="1" x14ac:dyDescent="0.45">
      <c r="A542" s="21"/>
      <c r="C542" s="2"/>
      <c r="D542" s="3"/>
      <c r="E542" s="3"/>
      <c r="F542" s="3"/>
      <c r="G542" s="3"/>
      <c r="H542" s="3"/>
      <c r="I542" s="3"/>
      <c r="J542" s="3"/>
      <c r="K542" s="3"/>
      <c r="L542" s="3"/>
      <c r="M542"/>
      <c r="N542"/>
      <c r="O542"/>
      <c r="P542"/>
      <c r="Q542"/>
      <c r="R542"/>
      <c r="S542"/>
      <c r="T542"/>
      <c r="U542"/>
      <c r="V542"/>
      <c r="W542"/>
      <c r="X542"/>
      <c r="Y542"/>
    </row>
    <row r="543" spans="1:25" s="29" customFormat="1" x14ac:dyDescent="0.45">
      <c r="A543" s="21"/>
      <c r="C543" s="2"/>
      <c r="D543" s="3"/>
      <c r="E543" s="3"/>
      <c r="F543" s="3"/>
      <c r="G543" s="3"/>
      <c r="H543" s="3"/>
      <c r="I543" s="3"/>
      <c r="J543" s="3"/>
      <c r="K543" s="3"/>
      <c r="L543" s="3"/>
      <c r="M543"/>
      <c r="N543"/>
      <c r="O543"/>
      <c r="P543"/>
      <c r="Q543"/>
      <c r="R543"/>
      <c r="S543"/>
      <c r="T543"/>
      <c r="U543"/>
      <c r="V543"/>
      <c r="W543"/>
      <c r="X543"/>
      <c r="Y543"/>
    </row>
    <row r="544" spans="1:25" s="29" customFormat="1" x14ac:dyDescent="0.45">
      <c r="A544" s="21"/>
      <c r="C544" s="2"/>
      <c r="D544" s="3"/>
      <c r="E544" s="3"/>
      <c r="F544" s="3"/>
      <c r="G544" s="3"/>
      <c r="H544" s="3"/>
      <c r="I544" s="3"/>
      <c r="J544" s="3"/>
      <c r="K544" s="3"/>
      <c r="L544" s="3"/>
      <c r="M544"/>
      <c r="N544"/>
      <c r="O544"/>
      <c r="P544"/>
      <c r="Q544"/>
      <c r="R544"/>
      <c r="S544"/>
      <c r="T544"/>
      <c r="U544"/>
      <c r="V544"/>
      <c r="W544"/>
      <c r="X544"/>
      <c r="Y544"/>
    </row>
    <row r="545" spans="1:25" s="29" customFormat="1" x14ac:dyDescent="0.45">
      <c r="A545" s="21"/>
      <c r="C545" s="2"/>
      <c r="D545" s="3"/>
      <c r="E545" s="3"/>
      <c r="F545" s="3"/>
      <c r="G545" s="3"/>
      <c r="H545" s="3"/>
      <c r="I545" s="3"/>
      <c r="J545" s="3"/>
      <c r="K545" s="3"/>
      <c r="L545" s="3"/>
      <c r="M545"/>
      <c r="N545"/>
      <c r="O545"/>
      <c r="P545"/>
      <c r="Q545"/>
      <c r="R545"/>
      <c r="S545"/>
      <c r="T545"/>
      <c r="U545"/>
      <c r="V545"/>
      <c r="W545"/>
      <c r="X545"/>
      <c r="Y545"/>
    </row>
    <row r="546" spans="1:25" s="29" customFormat="1" x14ac:dyDescent="0.45">
      <c r="A546" s="21"/>
      <c r="C546" s="2"/>
      <c r="D546" s="3"/>
      <c r="E546" s="3"/>
      <c r="F546" s="3"/>
      <c r="G546" s="3"/>
      <c r="H546" s="3"/>
      <c r="I546" s="3"/>
      <c r="J546" s="3"/>
      <c r="K546" s="3"/>
      <c r="L546" s="3"/>
      <c r="M546"/>
      <c r="N546"/>
      <c r="O546"/>
      <c r="P546"/>
      <c r="Q546"/>
      <c r="R546"/>
      <c r="S546"/>
      <c r="T546"/>
      <c r="U546"/>
      <c r="V546"/>
      <c r="W546"/>
      <c r="X546"/>
      <c r="Y546"/>
    </row>
    <row r="547" spans="1:25" s="29" customFormat="1" x14ac:dyDescent="0.45">
      <c r="A547" s="21"/>
      <c r="C547" s="2"/>
      <c r="D547" s="3"/>
      <c r="E547" s="3"/>
      <c r="F547" s="3"/>
      <c r="G547" s="3"/>
      <c r="H547" s="3"/>
      <c r="I547" s="3"/>
      <c r="J547" s="3"/>
      <c r="K547" s="3"/>
      <c r="L547" s="3"/>
      <c r="M547"/>
      <c r="N547"/>
      <c r="O547"/>
      <c r="P547"/>
      <c r="Q547"/>
      <c r="R547"/>
      <c r="S547"/>
      <c r="T547"/>
      <c r="U547"/>
      <c r="V547"/>
      <c r="W547"/>
      <c r="X547"/>
      <c r="Y547"/>
    </row>
    <row r="548" spans="1:25" s="29" customFormat="1" x14ac:dyDescent="0.45">
      <c r="A548" s="21"/>
      <c r="C548" s="2"/>
      <c r="D548" s="3"/>
      <c r="E548" s="3"/>
      <c r="F548" s="3"/>
      <c r="G548" s="3"/>
      <c r="H548" s="3"/>
      <c r="I548" s="3"/>
      <c r="J548" s="3"/>
      <c r="K548" s="3"/>
      <c r="L548" s="3"/>
      <c r="M548"/>
      <c r="N548"/>
      <c r="O548"/>
      <c r="P548"/>
      <c r="Q548"/>
      <c r="R548"/>
      <c r="S548"/>
      <c r="T548"/>
      <c r="U548"/>
      <c r="V548"/>
      <c r="W548"/>
      <c r="X548"/>
      <c r="Y548"/>
    </row>
    <row r="549" spans="1:25" s="29" customFormat="1" x14ac:dyDescent="0.45">
      <c r="A549" s="21"/>
      <c r="C549" s="2"/>
      <c r="D549" s="3"/>
      <c r="E549" s="3"/>
      <c r="F549" s="3"/>
      <c r="G549" s="3"/>
      <c r="H549" s="3"/>
      <c r="I549" s="3"/>
      <c r="J549" s="3"/>
      <c r="K549" s="3"/>
      <c r="L549" s="3"/>
      <c r="M549"/>
      <c r="N549"/>
      <c r="O549"/>
      <c r="P549"/>
      <c r="Q549"/>
      <c r="R549"/>
      <c r="S549"/>
      <c r="T549"/>
      <c r="U549"/>
      <c r="V549"/>
      <c r="W549"/>
      <c r="X549"/>
      <c r="Y549"/>
    </row>
    <row r="550" spans="1:25" s="29" customFormat="1" x14ac:dyDescent="0.45">
      <c r="A550" s="21"/>
      <c r="C550" s="2"/>
      <c r="D550" s="3"/>
      <c r="E550" s="3"/>
      <c r="F550" s="3"/>
      <c r="G550" s="3"/>
      <c r="H550" s="3"/>
      <c r="I550" s="3"/>
      <c r="J550" s="3"/>
      <c r="K550" s="3"/>
      <c r="L550" s="3"/>
      <c r="M550"/>
      <c r="N550"/>
      <c r="O550"/>
      <c r="P550"/>
      <c r="Q550"/>
      <c r="R550"/>
      <c r="S550"/>
      <c r="T550"/>
      <c r="U550"/>
      <c r="V550"/>
      <c r="W550"/>
      <c r="X550"/>
      <c r="Y550"/>
    </row>
    <row r="551" spans="1:25" s="29" customFormat="1" x14ac:dyDescent="0.45">
      <c r="A551" s="21"/>
      <c r="C551" s="2"/>
      <c r="D551" s="3"/>
      <c r="E551" s="3"/>
      <c r="F551" s="3"/>
      <c r="G551" s="3"/>
      <c r="H551" s="3"/>
      <c r="I551" s="3"/>
      <c r="J551" s="3"/>
      <c r="K551" s="3"/>
      <c r="L551" s="3"/>
      <c r="M551"/>
      <c r="N551"/>
      <c r="O551"/>
      <c r="P551"/>
      <c r="Q551"/>
      <c r="R551"/>
      <c r="S551"/>
      <c r="T551"/>
      <c r="U551"/>
      <c r="V551"/>
      <c r="W551"/>
      <c r="X551"/>
      <c r="Y551"/>
    </row>
    <row r="552" spans="1:25" s="29" customFormat="1" x14ac:dyDescent="0.45">
      <c r="A552" s="21"/>
      <c r="C552" s="2"/>
      <c r="D552" s="3"/>
      <c r="E552" s="3"/>
      <c r="F552" s="3"/>
      <c r="G552" s="3"/>
      <c r="H552" s="3"/>
      <c r="I552" s="3"/>
      <c r="J552" s="3"/>
      <c r="K552" s="3"/>
      <c r="L552" s="3"/>
      <c r="M552"/>
      <c r="N552"/>
      <c r="O552"/>
      <c r="P552"/>
      <c r="Q552"/>
      <c r="R552"/>
      <c r="S552"/>
      <c r="T552"/>
      <c r="U552"/>
      <c r="V552"/>
      <c r="W552"/>
      <c r="X552"/>
      <c r="Y552"/>
    </row>
    <row r="553" spans="1:25" s="29" customFormat="1" x14ac:dyDescent="0.45">
      <c r="A553" s="21"/>
      <c r="C553" s="2"/>
      <c r="D553" s="3"/>
      <c r="E553" s="3"/>
      <c r="F553" s="3"/>
      <c r="G553" s="3"/>
      <c r="H553" s="3"/>
      <c r="I553" s="3"/>
      <c r="J553" s="3"/>
      <c r="K553" s="3"/>
      <c r="L553" s="3"/>
      <c r="M553"/>
      <c r="N553"/>
      <c r="O553"/>
      <c r="P553"/>
      <c r="Q553"/>
      <c r="R553"/>
      <c r="S553"/>
      <c r="T553"/>
      <c r="U553"/>
      <c r="V553"/>
      <c r="W553"/>
      <c r="X553"/>
      <c r="Y553"/>
    </row>
    <row r="554" spans="1:25" s="29" customFormat="1" x14ac:dyDescent="0.45">
      <c r="A554" s="21"/>
      <c r="C554" s="2"/>
      <c r="D554" s="3"/>
      <c r="E554" s="3"/>
      <c r="F554" s="3"/>
      <c r="G554" s="3"/>
      <c r="H554" s="3"/>
      <c r="I554" s="3"/>
      <c r="J554" s="3"/>
      <c r="K554" s="3"/>
      <c r="L554" s="3"/>
      <c r="M554"/>
      <c r="N554"/>
      <c r="O554"/>
      <c r="P554"/>
      <c r="Q554"/>
      <c r="R554"/>
      <c r="S554"/>
      <c r="T554"/>
      <c r="U554"/>
      <c r="V554"/>
      <c r="W554"/>
      <c r="X554"/>
      <c r="Y554"/>
    </row>
    <row r="555" spans="1:25" s="29" customFormat="1" x14ac:dyDescent="0.45">
      <c r="A555" s="21"/>
      <c r="C555" s="2"/>
      <c r="D555" s="3"/>
      <c r="E555" s="3"/>
      <c r="F555" s="3"/>
      <c r="G555" s="3"/>
      <c r="H555" s="3"/>
      <c r="I555" s="3"/>
      <c r="J555" s="3"/>
      <c r="K555" s="3"/>
      <c r="L555" s="3"/>
      <c r="M555"/>
      <c r="N555"/>
      <c r="O555"/>
      <c r="P555"/>
      <c r="Q555"/>
      <c r="R555"/>
      <c r="S555"/>
      <c r="T555"/>
      <c r="U555"/>
      <c r="V555"/>
      <c r="W555"/>
      <c r="X555"/>
      <c r="Y555"/>
    </row>
    <row r="556" spans="1:25" s="29" customFormat="1" x14ac:dyDescent="0.45">
      <c r="A556" s="21"/>
      <c r="C556" s="2"/>
      <c r="D556" s="3"/>
      <c r="E556" s="3"/>
      <c r="F556" s="3"/>
      <c r="G556" s="3"/>
      <c r="H556" s="3"/>
      <c r="I556" s="3"/>
      <c r="J556" s="3"/>
      <c r="K556" s="3"/>
      <c r="L556" s="3"/>
      <c r="M556"/>
      <c r="N556"/>
      <c r="O556"/>
      <c r="P556"/>
      <c r="Q556"/>
      <c r="R556"/>
      <c r="S556"/>
      <c r="T556"/>
      <c r="U556"/>
      <c r="V556"/>
      <c r="W556"/>
      <c r="X556"/>
      <c r="Y556"/>
    </row>
    <row r="557" spans="1:25" s="29" customFormat="1" x14ac:dyDescent="0.45">
      <c r="A557" s="21"/>
      <c r="C557" s="2"/>
      <c r="D557" s="3"/>
      <c r="E557" s="3"/>
      <c r="F557" s="3"/>
      <c r="G557" s="3"/>
      <c r="H557" s="3"/>
      <c r="I557" s="3"/>
      <c r="J557" s="3"/>
      <c r="K557" s="3"/>
      <c r="L557" s="3"/>
      <c r="M557"/>
      <c r="N557"/>
      <c r="O557"/>
      <c r="P557"/>
      <c r="Q557"/>
      <c r="R557"/>
      <c r="S557"/>
      <c r="T557"/>
      <c r="U557"/>
      <c r="V557"/>
      <c r="W557"/>
      <c r="X557"/>
      <c r="Y557"/>
    </row>
    <row r="558" spans="1:25" s="29" customFormat="1" x14ac:dyDescent="0.45">
      <c r="A558" s="21"/>
      <c r="C558" s="2"/>
      <c r="D558" s="3"/>
      <c r="E558" s="3"/>
      <c r="F558" s="3"/>
      <c r="G558" s="3"/>
      <c r="H558" s="3"/>
      <c r="I558" s="3"/>
      <c r="J558" s="3"/>
      <c r="K558" s="3"/>
      <c r="L558" s="3"/>
      <c r="M558"/>
      <c r="N558"/>
      <c r="O558"/>
      <c r="P558"/>
      <c r="Q558"/>
      <c r="R558"/>
      <c r="S558"/>
      <c r="T558"/>
      <c r="U558"/>
      <c r="V558"/>
      <c r="W558"/>
      <c r="X558"/>
      <c r="Y558"/>
    </row>
    <row r="559" spans="1:25" s="29" customFormat="1" x14ac:dyDescent="0.45">
      <c r="A559" s="21"/>
      <c r="C559" s="2"/>
      <c r="D559" s="3"/>
      <c r="E559" s="3"/>
      <c r="F559" s="3"/>
      <c r="G559" s="3"/>
      <c r="H559" s="3"/>
      <c r="I559" s="3"/>
      <c r="J559" s="3"/>
      <c r="K559" s="3"/>
      <c r="L559" s="3"/>
      <c r="M559"/>
      <c r="N559"/>
      <c r="O559"/>
      <c r="P559"/>
      <c r="Q559"/>
      <c r="R559"/>
      <c r="S559"/>
      <c r="T559"/>
      <c r="U559"/>
      <c r="V559"/>
      <c r="W559"/>
      <c r="X559"/>
      <c r="Y559"/>
    </row>
    <row r="560" spans="1:25" s="29" customFormat="1" x14ac:dyDescent="0.45">
      <c r="A560" s="21"/>
      <c r="C560" s="2"/>
      <c r="D560" s="3"/>
      <c r="E560" s="3"/>
      <c r="F560" s="3"/>
      <c r="G560" s="3"/>
      <c r="H560" s="3"/>
      <c r="I560" s="3"/>
      <c r="J560" s="3"/>
      <c r="K560" s="3"/>
      <c r="L560" s="3"/>
      <c r="M560"/>
      <c r="N560"/>
      <c r="O560"/>
      <c r="P560"/>
      <c r="Q560"/>
      <c r="R560"/>
      <c r="S560"/>
      <c r="T560"/>
      <c r="U560"/>
      <c r="V560"/>
      <c r="W560"/>
      <c r="X560"/>
      <c r="Y560"/>
    </row>
    <row r="561" spans="1:25" s="29" customFormat="1" x14ac:dyDescent="0.45">
      <c r="A561" s="21"/>
      <c r="C561" s="2"/>
      <c r="D561" s="3"/>
      <c r="E561" s="3"/>
      <c r="F561" s="3"/>
      <c r="G561" s="3"/>
      <c r="H561" s="3"/>
      <c r="I561" s="3"/>
      <c r="J561" s="3"/>
      <c r="K561" s="3"/>
      <c r="L561" s="3"/>
      <c r="M561"/>
      <c r="N561"/>
      <c r="O561"/>
      <c r="P561"/>
      <c r="Q561"/>
      <c r="R561"/>
      <c r="S561"/>
      <c r="T561"/>
      <c r="U561"/>
      <c r="V561"/>
      <c r="W561"/>
      <c r="X561"/>
      <c r="Y561"/>
    </row>
    <row r="562" spans="1:25" s="29" customFormat="1" x14ac:dyDescent="0.45">
      <c r="A562" s="21"/>
      <c r="C562" s="2"/>
      <c r="D562" s="3"/>
      <c r="E562" s="3"/>
      <c r="F562" s="3"/>
      <c r="G562" s="3"/>
      <c r="H562" s="3"/>
      <c r="I562" s="3"/>
      <c r="J562" s="3"/>
      <c r="K562" s="3"/>
      <c r="L562" s="3"/>
      <c r="M562"/>
      <c r="N562"/>
      <c r="O562"/>
      <c r="P562"/>
      <c r="Q562"/>
      <c r="R562"/>
      <c r="S562"/>
      <c r="T562"/>
      <c r="U562"/>
      <c r="V562"/>
      <c r="W562"/>
      <c r="X562"/>
      <c r="Y562"/>
    </row>
    <row r="563" spans="1:25" s="29" customFormat="1" x14ac:dyDescent="0.45">
      <c r="A563" s="21"/>
      <c r="C563" s="2"/>
      <c r="D563" s="3"/>
      <c r="E563" s="3"/>
      <c r="F563" s="3"/>
      <c r="G563" s="3"/>
      <c r="H563" s="3"/>
      <c r="I563" s="3"/>
      <c r="J563" s="3"/>
      <c r="K563" s="3"/>
      <c r="L563" s="3"/>
      <c r="M563"/>
      <c r="N563"/>
      <c r="O563"/>
      <c r="P563"/>
      <c r="Q563"/>
      <c r="R563"/>
      <c r="S563"/>
      <c r="T563"/>
      <c r="U563"/>
      <c r="V563"/>
      <c r="W563"/>
      <c r="X563"/>
      <c r="Y563"/>
    </row>
    <row r="564" spans="1:25" s="29" customFormat="1" x14ac:dyDescent="0.45">
      <c r="A564" s="21"/>
      <c r="C564" s="2"/>
      <c r="D564" s="3"/>
      <c r="E564" s="3"/>
      <c r="F564" s="3"/>
      <c r="G564" s="3"/>
      <c r="H564" s="3"/>
      <c r="I564" s="3"/>
      <c r="J564" s="3"/>
      <c r="K564" s="3"/>
      <c r="L564" s="3"/>
      <c r="M564"/>
      <c r="N564"/>
      <c r="O564"/>
      <c r="P564"/>
      <c r="Q564"/>
      <c r="R564"/>
      <c r="S564"/>
      <c r="T564"/>
      <c r="U564"/>
      <c r="V564"/>
      <c r="W564"/>
      <c r="X564"/>
      <c r="Y564"/>
    </row>
    <row r="565" spans="1:25" s="29" customFormat="1" x14ac:dyDescent="0.45">
      <c r="A565" s="21"/>
      <c r="C565" s="2"/>
      <c r="D565" s="3"/>
      <c r="E565" s="3"/>
      <c r="F565" s="3"/>
      <c r="G565" s="3"/>
      <c r="H565" s="3"/>
      <c r="I565" s="3"/>
      <c r="J565" s="3"/>
      <c r="K565" s="3"/>
      <c r="L565" s="3"/>
      <c r="M565"/>
      <c r="N565"/>
      <c r="O565"/>
      <c r="P565"/>
      <c r="Q565"/>
      <c r="R565"/>
      <c r="S565"/>
      <c r="T565"/>
      <c r="U565"/>
      <c r="V565"/>
      <c r="W565"/>
      <c r="X565"/>
      <c r="Y565"/>
    </row>
    <row r="566" spans="1:25" s="29" customFormat="1" x14ac:dyDescent="0.45">
      <c r="A566" s="21"/>
      <c r="C566" s="2"/>
      <c r="D566" s="3"/>
      <c r="E566" s="3"/>
      <c r="F566" s="3"/>
      <c r="G566" s="3"/>
      <c r="H566" s="3"/>
      <c r="I566" s="3"/>
      <c r="J566" s="3"/>
      <c r="K566" s="3"/>
      <c r="L566" s="3"/>
      <c r="M566"/>
      <c r="N566"/>
      <c r="O566"/>
      <c r="P566"/>
      <c r="Q566"/>
      <c r="R566"/>
      <c r="S566"/>
      <c r="T566"/>
      <c r="U566"/>
      <c r="V566"/>
      <c r="W566"/>
      <c r="X566"/>
      <c r="Y566"/>
    </row>
    <row r="567" spans="1:25" s="29" customFormat="1" x14ac:dyDescent="0.45">
      <c r="A567" s="21"/>
      <c r="C567" s="2"/>
      <c r="D567" s="3"/>
      <c r="E567" s="3"/>
      <c r="F567" s="3"/>
      <c r="G567" s="3"/>
      <c r="H567" s="3"/>
      <c r="I567" s="3"/>
      <c r="J567" s="3"/>
      <c r="K567" s="3"/>
      <c r="L567" s="3"/>
      <c r="M567"/>
      <c r="N567"/>
      <c r="O567"/>
      <c r="P567"/>
      <c r="Q567"/>
      <c r="R567"/>
      <c r="S567"/>
      <c r="T567"/>
      <c r="U567"/>
      <c r="V567"/>
      <c r="W567"/>
      <c r="X567"/>
      <c r="Y567"/>
    </row>
    <row r="568" spans="1:25" s="29" customFormat="1" x14ac:dyDescent="0.45">
      <c r="A568" s="21"/>
      <c r="C568" s="2"/>
      <c r="D568" s="3"/>
      <c r="E568" s="3"/>
      <c r="F568" s="3"/>
      <c r="G568" s="3"/>
      <c r="H568" s="3"/>
      <c r="I568" s="3"/>
      <c r="J568" s="3"/>
      <c r="K568" s="3"/>
      <c r="L568" s="3"/>
      <c r="M568"/>
      <c r="N568"/>
      <c r="O568"/>
      <c r="P568"/>
      <c r="Q568"/>
      <c r="R568"/>
      <c r="S568"/>
      <c r="T568"/>
      <c r="U568"/>
      <c r="V568"/>
      <c r="W568"/>
      <c r="X568"/>
      <c r="Y568"/>
    </row>
    <row r="569" spans="1:25" s="29" customFormat="1" x14ac:dyDescent="0.45">
      <c r="A569" s="21"/>
      <c r="C569" s="2"/>
      <c r="D569" s="3"/>
      <c r="E569" s="3"/>
      <c r="F569" s="3"/>
      <c r="G569" s="3"/>
      <c r="H569" s="3"/>
      <c r="I569" s="3"/>
      <c r="J569" s="3"/>
      <c r="K569" s="3"/>
      <c r="L569" s="3"/>
      <c r="M569"/>
      <c r="N569"/>
      <c r="O569"/>
      <c r="P569"/>
      <c r="Q569"/>
      <c r="R569"/>
      <c r="S569"/>
      <c r="T569"/>
      <c r="U569"/>
      <c r="V569"/>
      <c r="W569"/>
      <c r="X569"/>
      <c r="Y569"/>
    </row>
    <row r="570" spans="1:25" s="29" customFormat="1" x14ac:dyDescent="0.45">
      <c r="A570" s="21"/>
      <c r="C570" s="2"/>
      <c r="D570" s="3"/>
      <c r="E570" s="3"/>
      <c r="F570" s="3"/>
      <c r="G570" s="3"/>
      <c r="H570" s="3"/>
      <c r="I570" s="3"/>
      <c r="J570" s="3"/>
      <c r="K570" s="3"/>
      <c r="L570" s="3"/>
      <c r="M570"/>
      <c r="N570"/>
      <c r="O570"/>
      <c r="P570"/>
      <c r="Q570"/>
      <c r="R570"/>
      <c r="S570"/>
      <c r="T570"/>
      <c r="U570"/>
      <c r="V570"/>
      <c r="W570"/>
      <c r="X570"/>
      <c r="Y570"/>
    </row>
    <row r="571" spans="1:25" s="29" customFormat="1" x14ac:dyDescent="0.45">
      <c r="A571" s="21"/>
      <c r="C571" s="2"/>
      <c r="D571" s="3"/>
      <c r="E571" s="3"/>
      <c r="F571" s="3"/>
      <c r="G571" s="3"/>
      <c r="H571" s="3"/>
      <c r="I571" s="3"/>
      <c r="J571" s="3"/>
      <c r="K571" s="3"/>
      <c r="L571" s="3"/>
      <c r="M571"/>
      <c r="N571"/>
      <c r="O571"/>
      <c r="P571"/>
      <c r="Q571"/>
      <c r="R571"/>
      <c r="S571"/>
      <c r="T571"/>
      <c r="U571"/>
      <c r="V571"/>
      <c r="W571"/>
      <c r="X571"/>
      <c r="Y571"/>
    </row>
    <row r="572" spans="1:25" s="29" customFormat="1" x14ac:dyDescent="0.45">
      <c r="A572" s="21"/>
      <c r="C572" s="2"/>
      <c r="D572" s="3"/>
      <c r="E572" s="3"/>
      <c r="F572" s="3"/>
      <c r="G572" s="3"/>
      <c r="H572" s="3"/>
      <c r="I572" s="3"/>
      <c r="J572" s="3"/>
      <c r="K572" s="3"/>
      <c r="L572" s="3"/>
      <c r="M572"/>
      <c r="N572"/>
      <c r="O572"/>
      <c r="P572"/>
      <c r="Q572"/>
      <c r="R572"/>
      <c r="S572"/>
      <c r="T572"/>
      <c r="U572"/>
      <c r="V572"/>
      <c r="W572"/>
      <c r="X572"/>
      <c r="Y572"/>
    </row>
    <row r="573" spans="1:25" s="29" customFormat="1" x14ac:dyDescent="0.45">
      <c r="A573" s="21"/>
      <c r="C573" s="2"/>
      <c r="D573" s="3"/>
      <c r="E573" s="3"/>
      <c r="F573" s="3"/>
      <c r="G573" s="3"/>
      <c r="H573" s="3"/>
      <c r="I573" s="3"/>
      <c r="J573" s="3"/>
      <c r="K573" s="3"/>
      <c r="L573" s="3"/>
      <c r="M573"/>
      <c r="N573"/>
      <c r="O573"/>
      <c r="P573"/>
      <c r="Q573"/>
      <c r="R573"/>
      <c r="S573"/>
      <c r="T573"/>
      <c r="U573"/>
      <c r="V573"/>
      <c r="W573"/>
      <c r="X573"/>
      <c r="Y573"/>
    </row>
    <row r="574" spans="1:25" s="29" customFormat="1" x14ac:dyDescent="0.45">
      <c r="A574" s="21"/>
      <c r="C574" s="2"/>
      <c r="D574" s="3"/>
      <c r="E574" s="3"/>
      <c r="F574" s="3"/>
      <c r="G574" s="3"/>
      <c r="H574" s="3"/>
      <c r="I574" s="3"/>
      <c r="J574" s="3"/>
      <c r="K574" s="3"/>
      <c r="L574" s="3"/>
      <c r="M574"/>
      <c r="N574"/>
      <c r="O574"/>
      <c r="P574"/>
      <c r="Q574"/>
      <c r="R574"/>
      <c r="S574"/>
      <c r="T574"/>
      <c r="U574"/>
      <c r="V574"/>
      <c r="W574"/>
      <c r="X574"/>
      <c r="Y574"/>
    </row>
    <row r="575" spans="1:25" s="29" customFormat="1" x14ac:dyDescent="0.45">
      <c r="A575" s="21"/>
      <c r="C575" s="2"/>
      <c r="D575" s="3"/>
      <c r="E575" s="3"/>
      <c r="F575" s="3"/>
      <c r="G575" s="3"/>
      <c r="H575" s="3"/>
      <c r="I575" s="3"/>
      <c r="J575" s="3"/>
      <c r="K575" s="3"/>
      <c r="L575" s="3"/>
      <c r="M575"/>
      <c r="N575"/>
      <c r="O575"/>
      <c r="P575"/>
      <c r="Q575"/>
      <c r="R575"/>
      <c r="S575"/>
      <c r="T575"/>
      <c r="U575"/>
      <c r="V575"/>
      <c r="W575"/>
      <c r="X575"/>
      <c r="Y575"/>
    </row>
    <row r="576" spans="1:25" s="29" customFormat="1" x14ac:dyDescent="0.45">
      <c r="A576" s="21"/>
      <c r="C576" s="2"/>
      <c r="D576" s="3"/>
      <c r="E576" s="3"/>
      <c r="F576" s="3"/>
      <c r="G576" s="3"/>
      <c r="H576" s="3"/>
      <c r="I576" s="3"/>
      <c r="J576" s="3"/>
      <c r="K576" s="3"/>
      <c r="L576" s="3"/>
      <c r="M576"/>
      <c r="N576"/>
      <c r="O576"/>
      <c r="P576"/>
      <c r="Q576"/>
      <c r="R576"/>
      <c r="S576"/>
      <c r="T576"/>
      <c r="U576"/>
      <c r="V576"/>
      <c r="W576"/>
      <c r="X576"/>
      <c r="Y576"/>
    </row>
    <row r="577" spans="1:25" s="29" customFormat="1" x14ac:dyDescent="0.45">
      <c r="A577" s="21"/>
      <c r="C577" s="2"/>
      <c r="D577" s="3"/>
      <c r="E577" s="3"/>
      <c r="F577" s="3"/>
      <c r="G577" s="3"/>
      <c r="H577" s="3"/>
      <c r="I577" s="3"/>
      <c r="J577" s="3"/>
      <c r="K577" s="3"/>
      <c r="L577" s="3"/>
      <c r="M577"/>
      <c r="N577"/>
      <c r="O577"/>
      <c r="P577"/>
      <c r="Q577"/>
      <c r="R577"/>
      <c r="S577"/>
      <c r="T577"/>
      <c r="U577"/>
      <c r="V577"/>
      <c r="W577"/>
      <c r="X577"/>
      <c r="Y577"/>
    </row>
    <row r="578" spans="1:25" s="29" customFormat="1" x14ac:dyDescent="0.45">
      <c r="A578" s="21"/>
      <c r="C578" s="2"/>
      <c r="D578" s="3"/>
      <c r="E578" s="3"/>
      <c r="F578" s="3"/>
      <c r="G578" s="3"/>
      <c r="H578" s="3"/>
      <c r="I578" s="3"/>
      <c r="J578" s="3"/>
      <c r="K578" s="3"/>
      <c r="L578" s="3"/>
      <c r="M578"/>
      <c r="N578"/>
      <c r="O578"/>
      <c r="P578"/>
      <c r="Q578"/>
      <c r="R578"/>
      <c r="S578"/>
      <c r="T578"/>
      <c r="U578"/>
      <c r="V578"/>
      <c r="W578"/>
      <c r="X578"/>
      <c r="Y578"/>
    </row>
    <row r="579" spans="1:25" s="29" customFormat="1" x14ac:dyDescent="0.45">
      <c r="A579" s="21"/>
      <c r="C579" s="2"/>
      <c r="D579" s="3"/>
      <c r="E579" s="3"/>
      <c r="F579" s="3"/>
      <c r="G579" s="3"/>
      <c r="H579" s="3"/>
      <c r="I579" s="3"/>
      <c r="J579" s="3"/>
      <c r="K579" s="3"/>
      <c r="L579" s="3"/>
      <c r="M579"/>
      <c r="N579"/>
      <c r="O579"/>
      <c r="P579"/>
      <c r="Q579"/>
      <c r="R579"/>
      <c r="S579"/>
      <c r="T579"/>
      <c r="U579"/>
      <c r="V579"/>
      <c r="W579"/>
      <c r="X579"/>
      <c r="Y579"/>
    </row>
    <row r="580" spans="1:25" s="29" customFormat="1" x14ac:dyDescent="0.45">
      <c r="A580" s="21"/>
      <c r="C580" s="2"/>
      <c r="D580" s="3"/>
      <c r="E580" s="3"/>
      <c r="F580" s="3"/>
      <c r="G580" s="3"/>
      <c r="H580" s="3"/>
      <c r="I580" s="3"/>
      <c r="J580" s="3"/>
      <c r="K580" s="3"/>
      <c r="L580" s="3"/>
      <c r="M580"/>
      <c r="N580"/>
      <c r="O580"/>
      <c r="P580"/>
      <c r="Q580"/>
      <c r="R580"/>
      <c r="S580"/>
      <c r="T580"/>
      <c r="U580"/>
      <c r="V580"/>
      <c r="W580"/>
      <c r="X580"/>
      <c r="Y580"/>
    </row>
    <row r="581" spans="1:25" s="29" customFormat="1" x14ac:dyDescent="0.45">
      <c r="A581" s="21"/>
      <c r="C581" s="2"/>
      <c r="D581" s="3"/>
      <c r="E581" s="3"/>
      <c r="F581" s="3"/>
      <c r="G581" s="3"/>
      <c r="H581" s="3"/>
      <c r="I581" s="3"/>
      <c r="J581" s="3"/>
      <c r="K581" s="3"/>
      <c r="L581" s="3"/>
      <c r="M581"/>
      <c r="N581"/>
      <c r="O581"/>
      <c r="P581"/>
      <c r="Q581"/>
      <c r="R581"/>
      <c r="S581"/>
      <c r="T581"/>
      <c r="U581"/>
      <c r="V581"/>
      <c r="W581"/>
      <c r="X581"/>
      <c r="Y581"/>
    </row>
    <row r="582" spans="1:25" s="29" customFormat="1" x14ac:dyDescent="0.45">
      <c r="A582" s="21"/>
      <c r="C582" s="2"/>
      <c r="D582" s="3"/>
      <c r="E582" s="3"/>
      <c r="F582" s="3"/>
      <c r="G582" s="3"/>
      <c r="H582" s="3"/>
      <c r="I582" s="3"/>
      <c r="J582" s="3"/>
      <c r="K582" s="3"/>
      <c r="L582" s="3"/>
      <c r="M582"/>
      <c r="N582"/>
      <c r="O582"/>
      <c r="P582"/>
      <c r="Q582"/>
      <c r="R582"/>
      <c r="S582"/>
      <c r="T582"/>
      <c r="U582"/>
      <c r="V582"/>
      <c r="W582"/>
      <c r="X582"/>
      <c r="Y582"/>
    </row>
    <row r="583" spans="1:25" s="29" customFormat="1" x14ac:dyDescent="0.45">
      <c r="A583" s="21"/>
      <c r="C583" s="2"/>
      <c r="D583" s="3"/>
      <c r="E583" s="3"/>
      <c r="F583" s="3"/>
      <c r="G583" s="3"/>
      <c r="H583" s="3"/>
      <c r="I583" s="3"/>
      <c r="J583" s="3"/>
      <c r="K583" s="3"/>
      <c r="L583" s="3"/>
      <c r="M583"/>
      <c r="N583"/>
      <c r="O583"/>
      <c r="P583"/>
      <c r="Q583"/>
      <c r="R583"/>
      <c r="S583"/>
      <c r="T583"/>
      <c r="U583"/>
      <c r="V583"/>
      <c r="W583"/>
      <c r="X583"/>
      <c r="Y583"/>
    </row>
    <row r="584" spans="1:25" s="29" customFormat="1" x14ac:dyDescent="0.45">
      <c r="A584" s="21"/>
      <c r="C584" s="2"/>
      <c r="D584" s="3"/>
      <c r="E584" s="3"/>
      <c r="F584" s="3"/>
      <c r="G584" s="3"/>
      <c r="H584" s="3"/>
      <c r="I584" s="3"/>
      <c r="J584" s="3"/>
      <c r="K584" s="3"/>
      <c r="L584" s="3"/>
      <c r="M584"/>
      <c r="N584"/>
      <c r="O584"/>
      <c r="P584"/>
      <c r="Q584"/>
      <c r="R584"/>
      <c r="S584"/>
      <c r="T584"/>
      <c r="U584"/>
      <c r="V584"/>
      <c r="W584"/>
      <c r="X584"/>
      <c r="Y584"/>
    </row>
    <row r="585" spans="1:25" s="29" customFormat="1" x14ac:dyDescent="0.45">
      <c r="A585" s="21"/>
      <c r="C585" s="2"/>
      <c r="D585" s="3"/>
      <c r="E585" s="3"/>
      <c r="F585" s="3"/>
      <c r="G585" s="3"/>
      <c r="H585" s="3"/>
      <c r="I585" s="3"/>
      <c r="J585" s="3"/>
      <c r="K585" s="3"/>
      <c r="L585" s="3"/>
      <c r="M585"/>
      <c r="N585"/>
      <c r="O585"/>
      <c r="P585"/>
      <c r="Q585"/>
      <c r="R585"/>
      <c r="S585"/>
      <c r="T585"/>
      <c r="U585"/>
      <c r="V585"/>
      <c r="W585"/>
      <c r="X585"/>
      <c r="Y585"/>
    </row>
    <row r="586" spans="1:25" s="29" customFormat="1" x14ac:dyDescent="0.45">
      <c r="A586" s="21"/>
      <c r="C586" s="2"/>
      <c r="D586" s="3"/>
      <c r="E586" s="3"/>
      <c r="F586" s="3"/>
      <c r="G586" s="3"/>
      <c r="H586" s="3"/>
      <c r="I586" s="3"/>
      <c r="J586" s="3"/>
      <c r="K586" s="3"/>
      <c r="L586" s="3"/>
      <c r="M586"/>
      <c r="N586"/>
      <c r="O586"/>
      <c r="P586"/>
      <c r="Q586"/>
      <c r="R586"/>
      <c r="S586"/>
      <c r="T586"/>
      <c r="U586"/>
      <c r="V586"/>
      <c r="W586"/>
      <c r="X586"/>
      <c r="Y586"/>
    </row>
    <row r="587" spans="1:25" s="29" customFormat="1" x14ac:dyDescent="0.45">
      <c r="A587" s="21"/>
      <c r="C587" s="2"/>
      <c r="D587" s="3"/>
      <c r="E587" s="3"/>
      <c r="F587" s="3"/>
      <c r="G587" s="3"/>
      <c r="H587" s="3"/>
      <c r="I587" s="3"/>
      <c r="J587" s="3"/>
      <c r="K587" s="3"/>
      <c r="L587" s="3"/>
      <c r="M587"/>
      <c r="N587"/>
      <c r="O587"/>
      <c r="P587"/>
      <c r="Q587"/>
      <c r="R587"/>
      <c r="S587"/>
      <c r="T587"/>
      <c r="U587"/>
      <c r="V587"/>
      <c r="W587"/>
      <c r="X587"/>
      <c r="Y587"/>
    </row>
    <row r="588" spans="1:25" s="29" customFormat="1" x14ac:dyDescent="0.45">
      <c r="A588" s="21"/>
      <c r="C588" s="2"/>
      <c r="D588" s="3"/>
      <c r="E588" s="3"/>
      <c r="F588" s="3"/>
      <c r="G588" s="3"/>
      <c r="H588" s="3"/>
      <c r="I588" s="3"/>
      <c r="J588" s="3"/>
      <c r="K588" s="3"/>
      <c r="L588" s="3"/>
      <c r="M588"/>
      <c r="N588"/>
      <c r="O588"/>
      <c r="P588"/>
      <c r="Q588"/>
      <c r="R588"/>
      <c r="S588"/>
      <c r="T588"/>
      <c r="U588"/>
      <c r="V588"/>
      <c r="W588"/>
      <c r="X588"/>
      <c r="Y588"/>
    </row>
    <row r="589" spans="1:25" s="29" customFormat="1" x14ac:dyDescent="0.45">
      <c r="A589" s="21"/>
      <c r="C589" s="2"/>
      <c r="D589" s="3"/>
      <c r="E589" s="3"/>
      <c r="F589" s="3"/>
      <c r="G589" s="3"/>
      <c r="H589" s="3"/>
      <c r="I589" s="3"/>
      <c r="J589" s="3"/>
      <c r="K589" s="3"/>
      <c r="L589" s="3"/>
      <c r="M589"/>
      <c r="N589"/>
      <c r="O589"/>
      <c r="P589"/>
      <c r="Q589"/>
      <c r="R589"/>
      <c r="S589"/>
      <c r="T589"/>
      <c r="U589"/>
      <c r="V589"/>
      <c r="W589"/>
      <c r="X589"/>
      <c r="Y589"/>
    </row>
    <row r="590" spans="1:25" s="29" customFormat="1" x14ac:dyDescent="0.45">
      <c r="A590" s="21"/>
      <c r="C590" s="2"/>
      <c r="D590" s="3"/>
      <c r="E590" s="3"/>
      <c r="F590" s="3"/>
      <c r="G590" s="3"/>
      <c r="H590" s="3"/>
      <c r="I590" s="3"/>
      <c r="J590" s="3"/>
      <c r="K590" s="3"/>
      <c r="L590" s="3"/>
      <c r="M590"/>
      <c r="N590"/>
      <c r="O590"/>
      <c r="P590"/>
      <c r="Q590"/>
      <c r="R590"/>
      <c r="S590"/>
      <c r="T590"/>
      <c r="U590"/>
      <c r="V590"/>
      <c r="W590"/>
      <c r="X590"/>
      <c r="Y590"/>
    </row>
    <row r="591" spans="1:25" s="29" customFormat="1" x14ac:dyDescent="0.45">
      <c r="A591" s="21"/>
      <c r="C591" s="2"/>
      <c r="D591" s="3"/>
      <c r="E591" s="3"/>
      <c r="F591" s="3"/>
      <c r="G591" s="3"/>
      <c r="H591" s="3"/>
      <c r="I591" s="3"/>
      <c r="J591" s="3"/>
      <c r="K591" s="3"/>
      <c r="L591" s="3"/>
      <c r="M591"/>
      <c r="N591"/>
      <c r="O591"/>
      <c r="P591"/>
      <c r="Q591"/>
      <c r="R591"/>
      <c r="S591"/>
      <c r="T591"/>
      <c r="U591"/>
      <c r="V591"/>
      <c r="W591"/>
      <c r="X591"/>
      <c r="Y591"/>
    </row>
    <row r="592" spans="1:25" s="29" customFormat="1" x14ac:dyDescent="0.45">
      <c r="A592" s="21"/>
      <c r="C592" s="2"/>
      <c r="D592" s="3"/>
      <c r="E592" s="3"/>
      <c r="F592" s="3"/>
      <c r="G592" s="3"/>
      <c r="H592" s="3"/>
      <c r="I592" s="3"/>
      <c r="J592" s="3"/>
      <c r="K592" s="3"/>
      <c r="L592" s="3"/>
      <c r="M592"/>
      <c r="N592"/>
      <c r="O592"/>
      <c r="P592"/>
      <c r="Q592"/>
      <c r="R592"/>
      <c r="S592"/>
      <c r="T592"/>
      <c r="U592"/>
      <c r="V592"/>
      <c r="W592"/>
      <c r="X592"/>
      <c r="Y592"/>
    </row>
    <row r="593" spans="1:25" s="29" customFormat="1" x14ac:dyDescent="0.45">
      <c r="A593" s="21"/>
      <c r="C593" s="2"/>
      <c r="D593" s="3"/>
      <c r="E593" s="3"/>
      <c r="F593" s="3"/>
      <c r="G593" s="3"/>
      <c r="H593" s="3"/>
      <c r="I593" s="3"/>
      <c r="J593" s="3"/>
      <c r="K593" s="3"/>
      <c r="L593" s="3"/>
      <c r="M593"/>
      <c r="N593"/>
      <c r="O593"/>
      <c r="P593"/>
      <c r="Q593"/>
      <c r="R593"/>
      <c r="S593"/>
      <c r="T593"/>
      <c r="U593"/>
      <c r="V593"/>
      <c r="W593"/>
      <c r="X593"/>
      <c r="Y593"/>
    </row>
    <row r="594" spans="1:25" s="29" customFormat="1" x14ac:dyDescent="0.45">
      <c r="A594" s="21"/>
      <c r="C594" s="2"/>
      <c r="D594" s="3"/>
      <c r="E594" s="3"/>
      <c r="F594" s="3"/>
      <c r="G594" s="3"/>
      <c r="H594" s="3"/>
      <c r="I594" s="3"/>
      <c r="J594" s="3"/>
      <c r="K594" s="3"/>
      <c r="L594" s="3"/>
      <c r="M594"/>
      <c r="N594"/>
      <c r="O594"/>
      <c r="P594"/>
      <c r="Q594"/>
      <c r="R594"/>
      <c r="S594"/>
      <c r="T594"/>
      <c r="U594"/>
      <c r="V594"/>
      <c r="W594"/>
      <c r="X594"/>
      <c r="Y594"/>
    </row>
    <row r="595" spans="1:25" s="29" customFormat="1" x14ac:dyDescent="0.45">
      <c r="A595" s="21"/>
      <c r="C595" s="2"/>
      <c r="D595" s="3"/>
      <c r="E595" s="3"/>
      <c r="F595" s="3"/>
      <c r="G595" s="3"/>
      <c r="H595" s="3"/>
      <c r="I595" s="3"/>
      <c r="J595" s="3"/>
      <c r="K595" s="3"/>
      <c r="L595" s="3"/>
      <c r="M595"/>
      <c r="N595"/>
      <c r="O595"/>
      <c r="P595"/>
      <c r="Q595"/>
      <c r="R595"/>
      <c r="S595"/>
      <c r="T595"/>
      <c r="U595"/>
      <c r="V595"/>
      <c r="W595"/>
      <c r="X595"/>
      <c r="Y595"/>
    </row>
    <row r="596" spans="1:25" s="29" customFormat="1" x14ac:dyDescent="0.45">
      <c r="A596" s="21"/>
      <c r="C596" s="2"/>
      <c r="D596" s="3"/>
      <c r="E596" s="3"/>
      <c r="F596" s="3"/>
      <c r="G596" s="3"/>
      <c r="H596" s="3"/>
      <c r="I596" s="3"/>
      <c r="J596" s="3"/>
      <c r="K596" s="3"/>
      <c r="L596" s="3"/>
      <c r="M596"/>
      <c r="N596"/>
      <c r="O596"/>
      <c r="P596"/>
      <c r="Q596"/>
      <c r="R596"/>
      <c r="S596"/>
      <c r="T596"/>
      <c r="U596"/>
      <c r="V596"/>
      <c r="W596"/>
      <c r="X596"/>
      <c r="Y596"/>
    </row>
    <row r="597" spans="1:25" s="29" customFormat="1" x14ac:dyDescent="0.45">
      <c r="A597" s="21"/>
      <c r="C597" s="2"/>
      <c r="D597" s="3"/>
      <c r="E597" s="3"/>
      <c r="F597" s="3"/>
      <c r="G597" s="3"/>
      <c r="H597" s="3"/>
      <c r="I597" s="3"/>
      <c r="J597" s="3"/>
      <c r="K597" s="3"/>
      <c r="L597" s="3"/>
      <c r="M597"/>
      <c r="N597"/>
      <c r="O597"/>
      <c r="P597"/>
      <c r="Q597"/>
      <c r="R597"/>
      <c r="S597"/>
      <c r="T597"/>
      <c r="U597"/>
      <c r="V597"/>
      <c r="W597"/>
      <c r="X597"/>
      <c r="Y597"/>
    </row>
    <row r="598" spans="1:25" s="29" customFormat="1" x14ac:dyDescent="0.45">
      <c r="A598" s="21"/>
      <c r="C598" s="2"/>
      <c r="D598" s="3"/>
      <c r="E598" s="3"/>
      <c r="F598" s="3"/>
      <c r="G598" s="3"/>
      <c r="H598" s="3"/>
      <c r="I598" s="3"/>
      <c r="J598" s="3"/>
      <c r="K598" s="3"/>
      <c r="L598" s="3"/>
      <c r="M598"/>
      <c r="N598"/>
      <c r="O598"/>
      <c r="P598"/>
      <c r="Q598"/>
      <c r="R598"/>
      <c r="S598"/>
      <c r="T598"/>
      <c r="U598"/>
      <c r="V598"/>
      <c r="W598"/>
      <c r="X598"/>
      <c r="Y598"/>
    </row>
    <row r="599" spans="1:25" s="29" customFormat="1" x14ac:dyDescent="0.45">
      <c r="A599" s="21"/>
      <c r="C599" s="2"/>
      <c r="D599" s="3"/>
      <c r="E599" s="3"/>
      <c r="F599" s="3"/>
      <c r="G599" s="3"/>
      <c r="H599" s="3"/>
      <c r="I599" s="3"/>
      <c r="J599" s="3"/>
      <c r="K599" s="3"/>
      <c r="L599" s="3"/>
      <c r="M599"/>
      <c r="N599"/>
      <c r="O599"/>
      <c r="P599"/>
      <c r="Q599"/>
      <c r="R599"/>
      <c r="S599"/>
      <c r="T599"/>
      <c r="U599"/>
      <c r="V599"/>
      <c r="W599"/>
      <c r="X599"/>
      <c r="Y599"/>
    </row>
    <row r="600" spans="1:25" s="29" customFormat="1" x14ac:dyDescent="0.45">
      <c r="A600" s="21"/>
      <c r="C600" s="2"/>
      <c r="D600" s="3"/>
      <c r="E600" s="3"/>
      <c r="F600" s="3"/>
      <c r="G600" s="3"/>
      <c r="H600" s="3"/>
      <c r="I600" s="3"/>
      <c r="J600" s="3"/>
      <c r="K600" s="3"/>
      <c r="L600" s="3"/>
      <c r="M600"/>
      <c r="N600"/>
      <c r="O600"/>
      <c r="P600"/>
      <c r="Q600"/>
      <c r="R600"/>
      <c r="S600"/>
      <c r="T600"/>
      <c r="U600"/>
      <c r="V600"/>
      <c r="W600"/>
      <c r="X600"/>
      <c r="Y600"/>
    </row>
    <row r="601" spans="1:25" s="29" customFormat="1" x14ac:dyDescent="0.45">
      <c r="A601" s="21"/>
      <c r="C601" s="2"/>
      <c r="D601" s="3"/>
      <c r="E601" s="3"/>
      <c r="F601" s="3"/>
      <c r="G601" s="3"/>
      <c r="H601" s="3"/>
      <c r="I601" s="3"/>
      <c r="J601" s="3"/>
      <c r="K601" s="3"/>
      <c r="L601" s="3"/>
      <c r="M601"/>
      <c r="N601"/>
      <c r="O601"/>
      <c r="P601"/>
      <c r="Q601"/>
      <c r="R601"/>
      <c r="S601"/>
      <c r="T601"/>
      <c r="U601"/>
      <c r="V601"/>
      <c r="W601"/>
      <c r="X601"/>
      <c r="Y601"/>
    </row>
    <row r="602" spans="1:25" s="29" customFormat="1" x14ac:dyDescent="0.45">
      <c r="A602" s="21"/>
      <c r="C602" s="2"/>
      <c r="D602" s="3"/>
      <c r="E602" s="3"/>
      <c r="F602" s="3"/>
      <c r="G602" s="3"/>
      <c r="H602" s="3"/>
      <c r="I602" s="3"/>
      <c r="J602" s="3"/>
      <c r="K602" s="3"/>
      <c r="L602" s="3"/>
      <c r="M602"/>
      <c r="N602"/>
      <c r="O602"/>
      <c r="P602"/>
      <c r="Q602"/>
      <c r="R602"/>
      <c r="S602"/>
      <c r="T602"/>
      <c r="U602"/>
      <c r="V602"/>
      <c r="W602"/>
      <c r="X602"/>
      <c r="Y602"/>
    </row>
    <row r="603" spans="1:25" s="29" customFormat="1" x14ac:dyDescent="0.45">
      <c r="A603" s="21"/>
      <c r="C603" s="2"/>
      <c r="D603" s="3"/>
      <c r="E603" s="3"/>
      <c r="F603" s="3"/>
      <c r="G603" s="3"/>
      <c r="H603" s="3"/>
      <c r="I603" s="3"/>
      <c r="J603" s="3"/>
      <c r="K603" s="3"/>
      <c r="L603" s="3"/>
      <c r="M603"/>
      <c r="N603"/>
      <c r="O603"/>
      <c r="P603"/>
      <c r="Q603"/>
      <c r="R603"/>
      <c r="S603"/>
      <c r="T603"/>
      <c r="U603"/>
      <c r="V603"/>
      <c r="W603"/>
      <c r="X603"/>
      <c r="Y603"/>
    </row>
    <row r="604" spans="1:25" s="29" customFormat="1" x14ac:dyDescent="0.45">
      <c r="A604" s="21"/>
      <c r="C604" s="2"/>
      <c r="D604" s="3"/>
      <c r="E604" s="3"/>
      <c r="F604" s="3"/>
      <c r="G604" s="3"/>
      <c r="H604" s="3"/>
      <c r="I604" s="3"/>
      <c r="J604" s="3"/>
      <c r="K604" s="3"/>
      <c r="L604" s="3"/>
      <c r="M604"/>
      <c r="N604"/>
      <c r="O604"/>
      <c r="P604"/>
      <c r="Q604"/>
      <c r="R604"/>
      <c r="S604"/>
      <c r="T604"/>
      <c r="U604"/>
      <c r="V604"/>
      <c r="W604"/>
      <c r="X604"/>
      <c r="Y604"/>
    </row>
    <row r="605" spans="1:25" s="29" customFormat="1" x14ac:dyDescent="0.45">
      <c r="A605" s="21"/>
      <c r="C605" s="2"/>
      <c r="D605" s="3"/>
      <c r="E605" s="3"/>
      <c r="F605" s="3"/>
      <c r="G605" s="3"/>
      <c r="H605" s="3"/>
      <c r="I605" s="3"/>
      <c r="J605" s="3"/>
      <c r="K605" s="3"/>
      <c r="L605" s="3"/>
      <c r="M605"/>
      <c r="N605"/>
      <c r="O605"/>
      <c r="P605"/>
      <c r="Q605"/>
      <c r="R605"/>
      <c r="S605"/>
      <c r="T605"/>
      <c r="U605"/>
      <c r="V605"/>
      <c r="W605"/>
      <c r="X605"/>
      <c r="Y605"/>
    </row>
    <row r="606" spans="1:25" s="29" customFormat="1" x14ac:dyDescent="0.45">
      <c r="A606" s="21"/>
      <c r="C606" s="2"/>
      <c r="D606" s="3"/>
      <c r="E606" s="3"/>
      <c r="F606" s="3"/>
      <c r="G606" s="3"/>
      <c r="H606" s="3"/>
      <c r="I606" s="3"/>
      <c r="J606" s="3"/>
      <c r="K606" s="3"/>
      <c r="L606" s="3"/>
      <c r="M606"/>
      <c r="N606"/>
      <c r="O606"/>
      <c r="P606"/>
      <c r="Q606"/>
      <c r="R606"/>
      <c r="S606"/>
      <c r="T606"/>
      <c r="U606"/>
      <c r="V606"/>
      <c r="W606"/>
      <c r="X606"/>
      <c r="Y606"/>
    </row>
    <row r="607" spans="1:25" s="29" customFormat="1" x14ac:dyDescent="0.45">
      <c r="A607" s="21"/>
      <c r="C607" s="2"/>
      <c r="D607" s="3"/>
      <c r="E607" s="3"/>
      <c r="F607" s="3"/>
      <c r="G607" s="3"/>
      <c r="H607" s="3"/>
      <c r="I607" s="3"/>
      <c r="J607" s="3"/>
      <c r="K607" s="3"/>
      <c r="L607" s="3"/>
      <c r="M607"/>
      <c r="N607"/>
      <c r="O607"/>
      <c r="P607"/>
      <c r="Q607"/>
      <c r="R607"/>
      <c r="S607"/>
      <c r="T607"/>
      <c r="U607"/>
      <c r="V607"/>
      <c r="W607"/>
      <c r="X607"/>
      <c r="Y607"/>
    </row>
    <row r="608" spans="1:25" s="29" customFormat="1" x14ac:dyDescent="0.45">
      <c r="A608"/>
      <c r="C608" s="2"/>
      <c r="D608" s="3"/>
      <c r="E608" s="3"/>
      <c r="F608" s="3"/>
      <c r="G608" s="3"/>
      <c r="H608" s="3"/>
      <c r="I608" s="3"/>
      <c r="J608" s="3"/>
      <c r="K608" s="3"/>
      <c r="L608" s="3"/>
      <c r="M608"/>
      <c r="N608"/>
      <c r="O608"/>
      <c r="P608"/>
      <c r="Q608"/>
      <c r="R608"/>
      <c r="S608"/>
      <c r="T608"/>
      <c r="U608"/>
      <c r="V608"/>
      <c r="W608"/>
      <c r="X608"/>
      <c r="Y608"/>
    </row>
    <row r="609" spans="1:25" s="29" customFormat="1" x14ac:dyDescent="0.45">
      <c r="A609"/>
      <c r="C609" s="2"/>
      <c r="D609" s="3"/>
      <c r="E609" s="3"/>
      <c r="F609" s="3"/>
      <c r="G609" s="3"/>
      <c r="H609" s="3"/>
      <c r="I609" s="3"/>
      <c r="J609" s="3"/>
      <c r="K609" s="3"/>
      <c r="L609" s="3"/>
      <c r="M609"/>
      <c r="N609"/>
      <c r="O609"/>
      <c r="P609"/>
      <c r="Q609"/>
      <c r="R609"/>
      <c r="S609"/>
      <c r="T609"/>
      <c r="U609"/>
      <c r="V609"/>
      <c r="W609"/>
      <c r="X609"/>
      <c r="Y609"/>
    </row>
    <row r="610" spans="1:25" s="29" customFormat="1" x14ac:dyDescent="0.45">
      <c r="A610"/>
      <c r="C610" s="2"/>
      <c r="D610" s="3"/>
      <c r="E610" s="3"/>
      <c r="F610" s="3"/>
      <c r="G610" s="3"/>
      <c r="H610" s="3"/>
      <c r="I610" s="3"/>
      <c r="J610" s="3"/>
      <c r="K610" s="3"/>
      <c r="L610" s="3"/>
      <c r="M610"/>
      <c r="N610"/>
      <c r="O610"/>
      <c r="P610"/>
      <c r="Q610"/>
      <c r="R610"/>
      <c r="S610"/>
      <c r="T610"/>
      <c r="U610"/>
      <c r="V610"/>
      <c r="W610"/>
      <c r="X610"/>
      <c r="Y610"/>
    </row>
    <row r="611" spans="1:25" s="29" customFormat="1" x14ac:dyDescent="0.45">
      <c r="A611"/>
      <c r="C611" s="2"/>
      <c r="D611" s="3"/>
      <c r="E611" s="3"/>
      <c r="F611" s="3"/>
      <c r="G611" s="3"/>
      <c r="H611" s="3"/>
      <c r="I611" s="3"/>
      <c r="J611" s="3"/>
      <c r="K611" s="3"/>
      <c r="L611" s="3"/>
      <c r="M611"/>
      <c r="N611"/>
      <c r="O611"/>
      <c r="P611"/>
      <c r="Q611"/>
      <c r="R611"/>
      <c r="S611"/>
      <c r="T611"/>
      <c r="U611"/>
      <c r="V611"/>
      <c r="W611"/>
      <c r="X611"/>
      <c r="Y611"/>
    </row>
    <row r="612" spans="1:25" s="29" customFormat="1" x14ac:dyDescent="0.45">
      <c r="A612"/>
      <c r="C612" s="2"/>
      <c r="D612" s="3"/>
      <c r="E612" s="3"/>
      <c r="F612" s="3"/>
      <c r="G612" s="3"/>
      <c r="H612" s="3"/>
      <c r="I612" s="3"/>
      <c r="J612" s="3"/>
      <c r="K612" s="3"/>
      <c r="L612" s="3"/>
      <c r="M612"/>
      <c r="N612"/>
      <c r="O612"/>
      <c r="P612"/>
      <c r="Q612"/>
      <c r="R612"/>
      <c r="S612"/>
      <c r="T612"/>
      <c r="U612"/>
      <c r="V612"/>
      <c r="W612"/>
      <c r="X612"/>
      <c r="Y612"/>
    </row>
    <row r="613" spans="1:25" s="29" customFormat="1" x14ac:dyDescent="0.45">
      <c r="A613"/>
      <c r="C613" s="2"/>
      <c r="D613" s="3"/>
      <c r="E613" s="3"/>
      <c r="F613" s="3"/>
      <c r="G613" s="3"/>
      <c r="H613" s="3"/>
      <c r="I613" s="3"/>
      <c r="J613" s="3"/>
      <c r="K613" s="3"/>
      <c r="L613" s="3"/>
      <c r="M613"/>
      <c r="N613"/>
      <c r="O613"/>
      <c r="P613"/>
      <c r="Q613"/>
      <c r="R613"/>
      <c r="S613"/>
      <c r="T613"/>
      <c r="U613"/>
      <c r="V613"/>
      <c r="W613"/>
      <c r="X613"/>
      <c r="Y613"/>
    </row>
    <row r="614" spans="1:25" s="29" customFormat="1" x14ac:dyDescent="0.45">
      <c r="A614"/>
      <c r="C614" s="2"/>
      <c r="D614" s="3"/>
      <c r="E614" s="3"/>
      <c r="F614" s="3"/>
      <c r="G614" s="3"/>
      <c r="H614" s="3"/>
      <c r="I614" s="3"/>
      <c r="J614" s="3"/>
      <c r="K614" s="3"/>
      <c r="L614" s="3"/>
      <c r="M614"/>
      <c r="N614"/>
      <c r="O614"/>
      <c r="P614"/>
      <c r="Q614"/>
      <c r="R614"/>
      <c r="S614"/>
      <c r="T614"/>
      <c r="U614"/>
      <c r="V614"/>
      <c r="W614"/>
      <c r="X614"/>
      <c r="Y614"/>
    </row>
    <row r="615" spans="1:25" s="29" customFormat="1" x14ac:dyDescent="0.45">
      <c r="A615"/>
      <c r="C615" s="2"/>
      <c r="D615" s="3"/>
      <c r="E615" s="3"/>
      <c r="F615" s="3"/>
      <c r="G615" s="3"/>
      <c r="H615" s="3"/>
      <c r="I615" s="3"/>
      <c r="J615" s="3"/>
      <c r="K615" s="3"/>
      <c r="L615" s="3"/>
      <c r="M615"/>
      <c r="N615"/>
      <c r="O615"/>
      <c r="P615"/>
      <c r="Q615"/>
      <c r="R615"/>
      <c r="S615"/>
      <c r="T615"/>
      <c r="U615"/>
      <c r="V615"/>
      <c r="W615"/>
      <c r="X615"/>
      <c r="Y615"/>
    </row>
    <row r="616" spans="1:25" s="29" customFormat="1" x14ac:dyDescent="0.45">
      <c r="A616"/>
      <c r="C616" s="2"/>
      <c r="D616" s="3"/>
      <c r="E616" s="3"/>
      <c r="F616" s="3"/>
      <c r="G616" s="3"/>
      <c r="H616" s="3"/>
      <c r="I616" s="3"/>
      <c r="J616" s="3"/>
      <c r="K616" s="3"/>
      <c r="L616" s="3"/>
      <c r="M616"/>
      <c r="N616"/>
      <c r="O616"/>
      <c r="P616"/>
      <c r="Q616"/>
      <c r="R616"/>
      <c r="S616"/>
      <c r="T616"/>
      <c r="U616"/>
      <c r="V616"/>
      <c r="W616"/>
      <c r="X616"/>
      <c r="Y616"/>
    </row>
    <row r="617" spans="1:25" s="29" customFormat="1" x14ac:dyDescent="0.45">
      <c r="A617"/>
      <c r="C617" s="2"/>
      <c r="D617" s="3"/>
      <c r="E617" s="3"/>
      <c r="F617" s="3"/>
      <c r="G617" s="3"/>
      <c r="H617" s="3"/>
      <c r="I617" s="3"/>
      <c r="J617" s="3"/>
      <c r="K617" s="3"/>
      <c r="L617" s="3"/>
      <c r="M617"/>
      <c r="N617"/>
      <c r="O617"/>
      <c r="P617"/>
      <c r="Q617"/>
      <c r="R617"/>
      <c r="S617"/>
      <c r="T617"/>
      <c r="U617"/>
      <c r="V617"/>
      <c r="W617"/>
      <c r="X617"/>
      <c r="Y617"/>
    </row>
    <row r="618" spans="1:25" s="29" customFormat="1" x14ac:dyDescent="0.45">
      <c r="A618"/>
      <c r="C618" s="2"/>
      <c r="D618" s="3"/>
      <c r="E618" s="3"/>
      <c r="F618" s="3"/>
      <c r="G618" s="3"/>
      <c r="H618" s="3"/>
      <c r="I618" s="3"/>
      <c r="J618" s="3"/>
      <c r="K618" s="3"/>
      <c r="L618" s="3"/>
      <c r="M618"/>
      <c r="N618"/>
      <c r="O618"/>
      <c r="P618"/>
      <c r="Q618"/>
      <c r="R618"/>
      <c r="S618"/>
      <c r="T618"/>
      <c r="U618"/>
      <c r="V618"/>
      <c r="W618"/>
      <c r="X618"/>
      <c r="Y618"/>
    </row>
    <row r="619" spans="1:25" s="29" customFormat="1" x14ac:dyDescent="0.45">
      <c r="A619"/>
      <c r="C619" s="2"/>
      <c r="D619" s="3"/>
      <c r="E619" s="3"/>
      <c r="F619" s="3"/>
      <c r="G619" s="3"/>
      <c r="H619" s="3"/>
      <c r="I619" s="3"/>
      <c r="J619" s="3"/>
      <c r="K619" s="3"/>
      <c r="L619" s="3"/>
      <c r="M619"/>
      <c r="N619"/>
      <c r="O619"/>
      <c r="P619"/>
      <c r="Q619"/>
      <c r="R619"/>
      <c r="S619"/>
      <c r="T619"/>
      <c r="U619"/>
      <c r="V619"/>
      <c r="W619"/>
      <c r="X619"/>
      <c r="Y619"/>
    </row>
    <row r="620" spans="1:25" s="29" customFormat="1" x14ac:dyDescent="0.45">
      <c r="A620"/>
      <c r="C620" s="2"/>
      <c r="D620" s="3"/>
      <c r="E620" s="3"/>
      <c r="F620" s="3"/>
      <c r="G620" s="3"/>
      <c r="H620" s="3"/>
      <c r="I620" s="3"/>
      <c r="J620" s="3"/>
      <c r="K620" s="3"/>
      <c r="L620" s="3"/>
      <c r="M620"/>
      <c r="N620"/>
      <c r="O620"/>
      <c r="P620"/>
      <c r="Q620"/>
      <c r="R620"/>
      <c r="S620"/>
      <c r="T620"/>
      <c r="U620"/>
      <c r="V620"/>
      <c r="W620"/>
      <c r="X620"/>
      <c r="Y620"/>
    </row>
    <row r="621" spans="1:25" s="29" customFormat="1" x14ac:dyDescent="0.45">
      <c r="A621"/>
      <c r="C621" s="2"/>
      <c r="D621" s="3"/>
      <c r="E621" s="3"/>
      <c r="F621" s="3"/>
      <c r="G621" s="3"/>
      <c r="H621" s="3"/>
      <c r="I621" s="3"/>
      <c r="J621" s="3"/>
      <c r="K621" s="3"/>
      <c r="L621" s="3"/>
      <c r="M621"/>
      <c r="N621"/>
      <c r="O621"/>
      <c r="P621"/>
      <c r="Q621"/>
      <c r="R621"/>
      <c r="S621"/>
      <c r="T621"/>
      <c r="U621"/>
      <c r="V621"/>
      <c r="W621"/>
      <c r="X621"/>
      <c r="Y621"/>
    </row>
    <row r="622" spans="1:25" s="29" customFormat="1" x14ac:dyDescent="0.45">
      <c r="A622"/>
      <c r="C622" s="2"/>
      <c r="D622" s="3"/>
      <c r="E622" s="3"/>
      <c r="F622" s="3"/>
      <c r="G622" s="3"/>
      <c r="H622" s="3"/>
      <c r="I622" s="3"/>
      <c r="J622" s="3"/>
      <c r="K622" s="3"/>
      <c r="L622" s="3"/>
      <c r="M622"/>
      <c r="N622"/>
      <c r="O622"/>
      <c r="P622"/>
      <c r="Q622"/>
      <c r="R622"/>
      <c r="S622"/>
      <c r="T622"/>
      <c r="U622"/>
      <c r="V622"/>
      <c r="W622"/>
      <c r="X622"/>
      <c r="Y622"/>
    </row>
    <row r="623" spans="1:25" s="29" customFormat="1" x14ac:dyDescent="0.45">
      <c r="A623"/>
      <c r="C623" s="2"/>
      <c r="D623" s="3"/>
      <c r="E623" s="3"/>
      <c r="F623" s="3"/>
      <c r="G623" s="3"/>
      <c r="H623" s="3"/>
      <c r="I623" s="3"/>
      <c r="J623" s="3"/>
      <c r="K623" s="3"/>
      <c r="L623" s="3"/>
      <c r="M623"/>
      <c r="N623"/>
      <c r="O623"/>
      <c r="P623"/>
      <c r="Q623"/>
      <c r="R623"/>
      <c r="S623"/>
      <c r="T623"/>
      <c r="U623"/>
      <c r="V623"/>
      <c r="W623"/>
      <c r="X623"/>
      <c r="Y623"/>
    </row>
    <row r="624" spans="1:25" s="29" customFormat="1" x14ac:dyDescent="0.45">
      <c r="A624"/>
      <c r="C624" s="2"/>
      <c r="D624" s="3"/>
      <c r="E624" s="3"/>
      <c r="F624" s="3"/>
      <c r="G624" s="3"/>
      <c r="H624" s="3"/>
      <c r="I624" s="3"/>
      <c r="J624" s="3"/>
      <c r="K624" s="3"/>
      <c r="L624" s="3"/>
      <c r="M624"/>
      <c r="N624"/>
      <c r="O624"/>
      <c r="P624"/>
      <c r="Q624"/>
      <c r="R624"/>
      <c r="S624"/>
      <c r="T624"/>
      <c r="U624"/>
      <c r="V624"/>
      <c r="W624"/>
      <c r="X624"/>
      <c r="Y624"/>
    </row>
    <row r="625" spans="1:25" s="29" customFormat="1" x14ac:dyDescent="0.45">
      <c r="A625"/>
      <c r="C625" s="2"/>
      <c r="D625" s="3"/>
      <c r="E625" s="3"/>
      <c r="F625" s="3"/>
      <c r="G625" s="3"/>
      <c r="H625" s="3"/>
      <c r="I625" s="3"/>
      <c r="J625" s="3"/>
      <c r="K625" s="3"/>
      <c r="L625" s="3"/>
      <c r="M625"/>
      <c r="N625"/>
      <c r="O625"/>
      <c r="P625"/>
      <c r="Q625"/>
      <c r="R625"/>
      <c r="S625"/>
      <c r="T625"/>
      <c r="U625"/>
      <c r="V625"/>
      <c r="W625"/>
      <c r="X625"/>
      <c r="Y625"/>
    </row>
    <row r="626" spans="1:25" s="29" customFormat="1" x14ac:dyDescent="0.45">
      <c r="A626"/>
      <c r="C626" s="2"/>
      <c r="D626" s="3"/>
      <c r="E626" s="3"/>
      <c r="F626" s="3"/>
      <c r="G626" s="3"/>
      <c r="H626" s="3"/>
      <c r="I626" s="3"/>
      <c r="J626" s="3"/>
      <c r="K626" s="3"/>
      <c r="L626" s="3"/>
      <c r="M626"/>
      <c r="N626"/>
      <c r="O626"/>
      <c r="P626"/>
      <c r="Q626"/>
      <c r="R626"/>
      <c r="S626"/>
      <c r="T626"/>
      <c r="U626"/>
      <c r="V626"/>
      <c r="W626"/>
      <c r="X626"/>
      <c r="Y626"/>
    </row>
    <row r="627" spans="1:25" s="29" customFormat="1" x14ac:dyDescent="0.45">
      <c r="A627"/>
      <c r="C627" s="2"/>
      <c r="D627" s="3"/>
      <c r="E627" s="3"/>
      <c r="F627" s="3"/>
      <c r="G627" s="3"/>
      <c r="H627" s="3"/>
      <c r="I627" s="3"/>
      <c r="J627" s="3"/>
      <c r="K627" s="3"/>
      <c r="L627" s="3"/>
      <c r="M627"/>
      <c r="N627"/>
      <c r="O627"/>
      <c r="P627"/>
      <c r="Q627"/>
      <c r="R627"/>
      <c r="S627"/>
      <c r="T627"/>
      <c r="U627"/>
      <c r="V627"/>
      <c r="W627"/>
      <c r="X627"/>
      <c r="Y627"/>
    </row>
    <row r="628" spans="1:25" s="29" customFormat="1" x14ac:dyDescent="0.45">
      <c r="A628"/>
      <c r="C628" s="2"/>
      <c r="D628" s="3"/>
      <c r="E628" s="3"/>
      <c r="F628" s="3"/>
      <c r="G628" s="3"/>
      <c r="H628" s="3"/>
      <c r="I628" s="3"/>
      <c r="J628" s="3"/>
      <c r="K628" s="3"/>
      <c r="L628" s="3"/>
      <c r="M628"/>
      <c r="N628"/>
      <c r="O628"/>
      <c r="P628"/>
      <c r="Q628"/>
      <c r="R628"/>
      <c r="S628"/>
      <c r="T628"/>
      <c r="U628"/>
      <c r="V628"/>
      <c r="W628"/>
      <c r="X628"/>
      <c r="Y628"/>
    </row>
    <row r="629" spans="1:25" s="29" customFormat="1" x14ac:dyDescent="0.45">
      <c r="A629"/>
      <c r="C629" s="2"/>
      <c r="D629" s="3"/>
      <c r="E629" s="3"/>
      <c r="F629" s="3"/>
      <c r="G629" s="3"/>
      <c r="H629" s="3"/>
      <c r="I629" s="3"/>
      <c r="J629" s="3"/>
      <c r="K629" s="3"/>
      <c r="L629" s="3"/>
      <c r="M629"/>
      <c r="N629"/>
      <c r="O629"/>
      <c r="P629"/>
      <c r="Q629"/>
      <c r="R629"/>
      <c r="S629"/>
      <c r="T629"/>
      <c r="U629"/>
      <c r="V629"/>
      <c r="W629"/>
      <c r="X629"/>
      <c r="Y629"/>
    </row>
    <row r="630" spans="1:25" s="29" customFormat="1" x14ac:dyDescent="0.45">
      <c r="A630"/>
      <c r="C630" s="2"/>
      <c r="D630" s="3"/>
      <c r="E630" s="3"/>
      <c r="F630" s="3"/>
      <c r="G630" s="3"/>
      <c r="H630" s="3"/>
      <c r="I630" s="3"/>
      <c r="J630" s="3"/>
      <c r="K630" s="3"/>
      <c r="L630" s="3"/>
      <c r="M630"/>
      <c r="N630"/>
      <c r="O630"/>
      <c r="P630"/>
      <c r="Q630"/>
      <c r="R630"/>
      <c r="S630"/>
      <c r="T630"/>
      <c r="U630"/>
      <c r="V630"/>
      <c r="W630"/>
      <c r="X630"/>
      <c r="Y630"/>
    </row>
    <row r="631" spans="1:25" s="29" customFormat="1" x14ac:dyDescent="0.45">
      <c r="A631"/>
      <c r="C631" s="2"/>
      <c r="D631" s="3"/>
      <c r="E631" s="3"/>
      <c r="F631" s="3"/>
      <c r="G631" s="3"/>
      <c r="H631" s="3"/>
      <c r="I631" s="3"/>
      <c r="J631" s="3"/>
      <c r="K631" s="3"/>
      <c r="L631" s="3"/>
      <c r="M631"/>
      <c r="N631"/>
      <c r="O631"/>
      <c r="P631"/>
      <c r="Q631"/>
      <c r="R631"/>
      <c r="S631"/>
      <c r="T631"/>
      <c r="U631"/>
      <c r="V631"/>
      <c r="W631"/>
      <c r="X631"/>
      <c r="Y631"/>
    </row>
    <row r="632" spans="1:25" s="29" customFormat="1" x14ac:dyDescent="0.45">
      <c r="A632"/>
      <c r="C632" s="2"/>
      <c r="D632" s="3"/>
      <c r="E632" s="3"/>
      <c r="F632" s="3"/>
      <c r="G632" s="3"/>
      <c r="H632" s="3"/>
      <c r="I632" s="3"/>
      <c r="J632" s="3"/>
      <c r="K632" s="3"/>
      <c r="L632" s="3"/>
      <c r="M632"/>
      <c r="N632"/>
      <c r="O632"/>
      <c r="P632"/>
      <c r="Q632"/>
      <c r="R632"/>
      <c r="S632"/>
      <c r="T632"/>
      <c r="U632"/>
      <c r="V632"/>
      <c r="W632"/>
      <c r="X632"/>
      <c r="Y632"/>
    </row>
    <row r="633" spans="1:25" s="29" customFormat="1" x14ac:dyDescent="0.45">
      <c r="A633"/>
      <c r="C633" s="2"/>
      <c r="D633" s="3"/>
      <c r="E633" s="3"/>
      <c r="F633" s="3"/>
      <c r="G633" s="3"/>
      <c r="H633" s="3"/>
      <c r="I633" s="3"/>
      <c r="J633" s="3"/>
      <c r="K633" s="3"/>
      <c r="L633" s="3"/>
      <c r="M633"/>
      <c r="N633"/>
      <c r="O633"/>
      <c r="P633"/>
      <c r="Q633"/>
      <c r="R633"/>
      <c r="S633"/>
      <c r="T633"/>
      <c r="U633"/>
      <c r="V633"/>
      <c r="W633"/>
      <c r="X633"/>
      <c r="Y633"/>
    </row>
    <row r="634" spans="1:25" s="29" customFormat="1" x14ac:dyDescent="0.45">
      <c r="A634"/>
      <c r="C634" s="2"/>
      <c r="D634" s="3"/>
      <c r="E634" s="3"/>
      <c r="F634" s="3"/>
      <c r="G634" s="3"/>
      <c r="H634" s="3"/>
      <c r="I634" s="3"/>
      <c r="J634" s="3"/>
      <c r="K634" s="3"/>
      <c r="L634" s="3"/>
      <c r="M634"/>
      <c r="N634"/>
      <c r="O634"/>
      <c r="P634"/>
      <c r="Q634"/>
      <c r="R634"/>
      <c r="S634"/>
      <c r="T634"/>
      <c r="U634"/>
      <c r="V634"/>
      <c r="W634"/>
      <c r="X634"/>
      <c r="Y634"/>
    </row>
    <row r="635" spans="1:25" s="29" customFormat="1" x14ac:dyDescent="0.45">
      <c r="A635"/>
      <c r="C635" s="2"/>
      <c r="D635" s="3"/>
      <c r="E635" s="3"/>
      <c r="F635" s="3"/>
      <c r="G635" s="3"/>
      <c r="H635" s="3"/>
      <c r="I635" s="3"/>
      <c r="J635" s="3"/>
      <c r="K635" s="3"/>
      <c r="L635" s="3"/>
      <c r="M635"/>
      <c r="N635"/>
      <c r="O635"/>
      <c r="P635"/>
      <c r="Q635"/>
      <c r="R635"/>
      <c r="S635"/>
      <c r="T635"/>
      <c r="U635"/>
      <c r="V635"/>
      <c r="W635"/>
      <c r="X635"/>
      <c r="Y635"/>
    </row>
    <row r="636" spans="1:25" s="29" customFormat="1" x14ac:dyDescent="0.45">
      <c r="A636"/>
      <c r="C636" s="2"/>
      <c r="D636" s="3"/>
      <c r="E636" s="3"/>
      <c r="F636" s="3"/>
      <c r="G636" s="3"/>
      <c r="H636" s="3"/>
      <c r="I636" s="3"/>
      <c r="J636" s="3"/>
      <c r="K636" s="3"/>
      <c r="L636" s="3"/>
      <c r="M636"/>
      <c r="N636"/>
      <c r="O636"/>
      <c r="P636"/>
      <c r="Q636"/>
      <c r="R636"/>
      <c r="S636"/>
      <c r="T636"/>
      <c r="U636"/>
      <c r="V636"/>
      <c r="W636"/>
      <c r="X636"/>
      <c r="Y636"/>
    </row>
    <row r="637" spans="1:25" s="29" customFormat="1" x14ac:dyDescent="0.45">
      <c r="A637"/>
      <c r="C637" s="2"/>
      <c r="D637" s="3"/>
      <c r="E637" s="3"/>
      <c r="F637" s="3"/>
      <c r="G637" s="3"/>
      <c r="H637" s="3"/>
      <c r="I637" s="3"/>
      <c r="J637" s="3"/>
      <c r="K637" s="3"/>
      <c r="L637" s="3"/>
      <c r="M637"/>
      <c r="N637"/>
      <c r="O637"/>
      <c r="P637"/>
      <c r="Q637"/>
      <c r="R637"/>
      <c r="S637"/>
      <c r="T637"/>
      <c r="U637"/>
      <c r="V637"/>
      <c r="W637"/>
      <c r="X637"/>
      <c r="Y637"/>
    </row>
    <row r="638" spans="1:25" s="29" customFormat="1" x14ac:dyDescent="0.45">
      <c r="A638"/>
      <c r="C638" s="2"/>
      <c r="D638" s="3"/>
      <c r="E638" s="3"/>
      <c r="F638" s="3"/>
      <c r="G638" s="3"/>
      <c r="H638" s="3"/>
      <c r="I638" s="3"/>
      <c r="J638" s="3"/>
      <c r="K638" s="3"/>
      <c r="L638" s="3"/>
      <c r="M638"/>
      <c r="N638"/>
      <c r="O638"/>
      <c r="P638"/>
      <c r="Q638"/>
      <c r="R638"/>
      <c r="S638"/>
      <c r="T638"/>
      <c r="U638"/>
      <c r="V638"/>
      <c r="W638"/>
      <c r="X638"/>
      <c r="Y638"/>
    </row>
    <row r="639" spans="1:25" s="29" customFormat="1" x14ac:dyDescent="0.45">
      <c r="A639"/>
      <c r="C639" s="2"/>
      <c r="D639" s="3"/>
      <c r="E639" s="3"/>
      <c r="F639" s="3"/>
      <c r="G639" s="3"/>
      <c r="H639" s="3"/>
      <c r="I639" s="3"/>
      <c r="J639" s="3"/>
      <c r="K639" s="3"/>
      <c r="L639" s="3"/>
      <c r="M639"/>
      <c r="N639"/>
      <c r="O639"/>
      <c r="P639"/>
      <c r="Q639"/>
      <c r="R639"/>
      <c r="S639"/>
      <c r="T639"/>
      <c r="U639"/>
      <c r="V639"/>
      <c r="W639"/>
      <c r="X639"/>
      <c r="Y639"/>
    </row>
    <row r="640" spans="1:25" s="29" customFormat="1" x14ac:dyDescent="0.45">
      <c r="A640"/>
      <c r="C640" s="2"/>
      <c r="D640" s="3"/>
      <c r="E640" s="3"/>
      <c r="F640" s="3"/>
      <c r="G640" s="3"/>
      <c r="H640" s="3"/>
      <c r="I640" s="3"/>
      <c r="J640" s="3"/>
      <c r="K640" s="3"/>
      <c r="L640" s="3"/>
      <c r="M640"/>
      <c r="N640"/>
      <c r="O640"/>
      <c r="P640"/>
      <c r="Q640"/>
      <c r="R640"/>
      <c r="S640"/>
      <c r="T640"/>
      <c r="U640"/>
      <c r="V640"/>
      <c r="W640"/>
      <c r="X640"/>
      <c r="Y640"/>
    </row>
    <row r="641" spans="1:25" s="29" customFormat="1" x14ac:dyDescent="0.45">
      <c r="A641"/>
      <c r="C641" s="2"/>
      <c r="D641" s="3"/>
      <c r="E641" s="3"/>
      <c r="F641" s="3"/>
      <c r="G641" s="3"/>
      <c r="H641" s="3"/>
      <c r="I641" s="3"/>
      <c r="J641" s="3"/>
      <c r="K641" s="3"/>
      <c r="L641" s="3"/>
      <c r="M641"/>
      <c r="N641"/>
      <c r="O641"/>
      <c r="P641"/>
      <c r="Q641"/>
      <c r="R641"/>
      <c r="S641"/>
      <c r="T641"/>
      <c r="U641"/>
      <c r="V641"/>
      <c r="W641"/>
      <c r="X641"/>
      <c r="Y641"/>
    </row>
    <row r="642" spans="1:25" s="29" customFormat="1" x14ac:dyDescent="0.45">
      <c r="A642"/>
      <c r="C642" s="2"/>
      <c r="D642" s="3"/>
      <c r="E642" s="3"/>
      <c r="F642" s="3"/>
      <c r="G642" s="3"/>
      <c r="H642" s="3"/>
      <c r="I642" s="3"/>
      <c r="J642" s="3"/>
      <c r="K642" s="3"/>
      <c r="L642" s="3"/>
      <c r="M642"/>
      <c r="N642"/>
      <c r="O642"/>
      <c r="P642"/>
      <c r="Q642"/>
      <c r="R642"/>
      <c r="S642"/>
      <c r="T642"/>
      <c r="U642"/>
      <c r="V642"/>
      <c r="W642"/>
      <c r="X642"/>
      <c r="Y642"/>
    </row>
    <row r="643" spans="1:25" s="29" customFormat="1" x14ac:dyDescent="0.45">
      <c r="A643"/>
      <c r="C643" s="2"/>
      <c r="D643" s="3"/>
      <c r="E643" s="3"/>
      <c r="F643" s="3"/>
      <c r="G643" s="3"/>
      <c r="H643" s="3"/>
      <c r="I643" s="3"/>
      <c r="J643" s="3"/>
      <c r="K643" s="3"/>
      <c r="L643" s="3"/>
      <c r="M643"/>
      <c r="N643"/>
      <c r="O643"/>
      <c r="P643"/>
      <c r="Q643"/>
      <c r="R643"/>
      <c r="S643"/>
      <c r="T643"/>
      <c r="U643"/>
      <c r="V643"/>
      <c r="W643"/>
      <c r="X643"/>
      <c r="Y643"/>
    </row>
    <row r="644" spans="1:25" s="29" customFormat="1" x14ac:dyDescent="0.45">
      <c r="A644"/>
      <c r="C644" s="2"/>
      <c r="D644" s="3"/>
      <c r="E644" s="3"/>
      <c r="F644" s="3"/>
      <c r="G644" s="3"/>
      <c r="H644" s="3"/>
      <c r="I644" s="3"/>
      <c r="J644" s="3"/>
      <c r="K644" s="3"/>
      <c r="L644" s="3"/>
      <c r="M644"/>
      <c r="N644"/>
      <c r="O644"/>
      <c r="P644"/>
      <c r="Q644"/>
      <c r="R644"/>
      <c r="S644"/>
      <c r="T644"/>
      <c r="U644"/>
      <c r="V644"/>
      <c r="W644"/>
      <c r="X644"/>
      <c r="Y644"/>
    </row>
    <row r="645" spans="1:25" s="29" customFormat="1" x14ac:dyDescent="0.45">
      <c r="A645"/>
      <c r="C645" s="2"/>
      <c r="D645" s="3"/>
      <c r="E645" s="3"/>
      <c r="F645" s="3"/>
      <c r="G645" s="3"/>
      <c r="H645" s="3"/>
      <c r="I645" s="3"/>
      <c r="J645" s="3"/>
      <c r="K645" s="3"/>
      <c r="L645" s="3"/>
      <c r="M645"/>
      <c r="N645"/>
      <c r="O645"/>
      <c r="P645"/>
      <c r="Q645"/>
      <c r="R645"/>
      <c r="S645"/>
      <c r="T645"/>
      <c r="U645"/>
      <c r="V645"/>
      <c r="W645"/>
      <c r="X645"/>
      <c r="Y645"/>
    </row>
    <row r="646" spans="1:25" s="29" customFormat="1" x14ac:dyDescent="0.45">
      <c r="A646"/>
      <c r="C646" s="2"/>
      <c r="D646" s="3"/>
      <c r="E646" s="3"/>
      <c r="F646" s="3"/>
      <c r="G646" s="3"/>
      <c r="H646" s="3"/>
      <c r="I646" s="3"/>
      <c r="J646" s="3"/>
      <c r="K646" s="3"/>
      <c r="L646" s="3"/>
      <c r="M646"/>
      <c r="N646"/>
      <c r="O646"/>
      <c r="P646"/>
      <c r="Q646"/>
      <c r="R646"/>
      <c r="S646"/>
      <c r="T646"/>
      <c r="U646"/>
      <c r="V646"/>
      <c r="W646"/>
      <c r="X646"/>
      <c r="Y646"/>
    </row>
    <row r="647" spans="1:25" s="29" customFormat="1" x14ac:dyDescent="0.45">
      <c r="A647"/>
      <c r="C647" s="2"/>
      <c r="D647" s="3"/>
      <c r="E647" s="3"/>
      <c r="F647" s="3"/>
      <c r="G647" s="3"/>
      <c r="H647" s="3"/>
      <c r="I647" s="3"/>
      <c r="J647" s="3"/>
      <c r="K647" s="3"/>
      <c r="L647" s="3"/>
      <c r="M647"/>
      <c r="N647"/>
      <c r="O647"/>
      <c r="P647"/>
      <c r="Q647"/>
      <c r="R647"/>
      <c r="S647"/>
      <c r="T647"/>
      <c r="U647"/>
      <c r="V647"/>
      <c r="W647"/>
      <c r="X647"/>
      <c r="Y647"/>
    </row>
    <row r="648" spans="1:25" s="29" customFormat="1" x14ac:dyDescent="0.45">
      <c r="A648"/>
      <c r="C648" s="2"/>
      <c r="D648" s="3"/>
      <c r="E648" s="3"/>
      <c r="F648" s="3"/>
      <c r="G648" s="3"/>
      <c r="H648" s="3"/>
      <c r="I648" s="3"/>
      <c r="J648" s="3"/>
      <c r="K648" s="3"/>
      <c r="L648" s="3"/>
      <c r="M648"/>
      <c r="N648"/>
      <c r="O648"/>
      <c r="P648"/>
      <c r="Q648"/>
      <c r="R648"/>
      <c r="S648"/>
      <c r="T648"/>
      <c r="U648"/>
      <c r="V648"/>
      <c r="W648"/>
      <c r="X648"/>
      <c r="Y648"/>
    </row>
    <row r="649" spans="1:25" s="29" customFormat="1" x14ac:dyDescent="0.45">
      <c r="A649"/>
      <c r="C649" s="2"/>
      <c r="D649" s="3"/>
      <c r="E649" s="3"/>
      <c r="F649" s="3"/>
      <c r="G649" s="3"/>
      <c r="H649" s="3"/>
      <c r="I649" s="3"/>
      <c r="J649" s="3"/>
      <c r="K649" s="3"/>
      <c r="L649" s="3"/>
      <c r="M649"/>
      <c r="N649"/>
      <c r="O649"/>
      <c r="P649"/>
      <c r="Q649"/>
      <c r="R649"/>
      <c r="S649"/>
      <c r="T649"/>
      <c r="U649"/>
      <c r="V649"/>
      <c r="W649"/>
      <c r="X649"/>
      <c r="Y649"/>
    </row>
    <row r="650" spans="1:25" s="29" customFormat="1" x14ac:dyDescent="0.45">
      <c r="A650"/>
      <c r="C650" s="2"/>
      <c r="D650" s="3"/>
      <c r="E650" s="3"/>
      <c r="F650" s="3"/>
      <c r="G650" s="3"/>
      <c r="H650" s="3"/>
      <c r="I650" s="3"/>
      <c r="J650" s="3"/>
      <c r="K650" s="3"/>
      <c r="L650" s="3"/>
      <c r="M650"/>
      <c r="N650"/>
      <c r="O650"/>
      <c r="P650"/>
      <c r="Q650"/>
      <c r="R650"/>
      <c r="S650"/>
      <c r="T650"/>
      <c r="U650"/>
      <c r="V650"/>
      <c r="W650"/>
      <c r="X650"/>
      <c r="Y650"/>
    </row>
    <row r="651" spans="1:25" s="29" customFormat="1" x14ac:dyDescent="0.45">
      <c r="A651"/>
      <c r="C651" s="2"/>
      <c r="D651" s="3"/>
      <c r="E651" s="3"/>
      <c r="F651" s="3"/>
      <c r="G651" s="3"/>
      <c r="H651" s="3"/>
      <c r="I651" s="3"/>
      <c r="J651" s="3"/>
      <c r="K651" s="3"/>
      <c r="L651" s="3"/>
      <c r="M651"/>
      <c r="N651"/>
      <c r="O651"/>
      <c r="P651"/>
      <c r="Q651"/>
      <c r="R651"/>
      <c r="S651"/>
      <c r="T651"/>
      <c r="U651"/>
      <c r="V651"/>
      <c r="W651"/>
      <c r="X651"/>
      <c r="Y651"/>
    </row>
    <row r="652" spans="1:25" s="29" customFormat="1" x14ac:dyDescent="0.45">
      <c r="A652"/>
      <c r="C652" s="2"/>
      <c r="D652" s="3"/>
      <c r="E652" s="3"/>
      <c r="F652" s="3"/>
      <c r="G652" s="3"/>
      <c r="H652" s="3"/>
      <c r="I652" s="3"/>
      <c r="J652" s="3"/>
      <c r="K652" s="3"/>
      <c r="L652" s="3"/>
      <c r="M652"/>
      <c r="N652"/>
      <c r="O652"/>
      <c r="P652"/>
      <c r="Q652"/>
      <c r="R652"/>
      <c r="S652"/>
      <c r="T652"/>
      <c r="U652"/>
      <c r="V652"/>
      <c r="W652"/>
      <c r="X652"/>
      <c r="Y652"/>
    </row>
    <row r="653" spans="1:25" s="29" customFormat="1" x14ac:dyDescent="0.45">
      <c r="A653"/>
      <c r="C653" s="2"/>
      <c r="D653" s="3"/>
      <c r="E653" s="3"/>
      <c r="F653" s="3"/>
      <c r="G653" s="3"/>
      <c r="H653" s="3"/>
      <c r="I653" s="3"/>
      <c r="J653" s="3"/>
      <c r="K653" s="3"/>
      <c r="L653" s="3"/>
      <c r="M653"/>
      <c r="N653"/>
      <c r="O653"/>
      <c r="P653"/>
      <c r="Q653"/>
      <c r="R653"/>
      <c r="S653"/>
      <c r="T653"/>
      <c r="U653"/>
      <c r="V653"/>
      <c r="W653"/>
      <c r="X653"/>
      <c r="Y653"/>
    </row>
    <row r="654" spans="1:25" s="29" customFormat="1" x14ac:dyDescent="0.45">
      <c r="A654"/>
      <c r="C654" s="2"/>
      <c r="D654" s="3"/>
      <c r="E654" s="3"/>
      <c r="F654" s="3"/>
      <c r="G654" s="3"/>
      <c r="H654" s="3"/>
      <c r="I654" s="3"/>
      <c r="J654" s="3"/>
      <c r="K654" s="3"/>
      <c r="L654" s="3"/>
      <c r="M654"/>
      <c r="N654"/>
      <c r="O654"/>
      <c r="P654"/>
      <c r="Q654"/>
      <c r="R654"/>
      <c r="S654"/>
      <c r="T654"/>
      <c r="U654"/>
      <c r="V654"/>
      <c r="W654"/>
      <c r="X654"/>
      <c r="Y654"/>
    </row>
    <row r="655" spans="1:25" s="29" customFormat="1" x14ac:dyDescent="0.45">
      <c r="A655"/>
      <c r="C655" s="2"/>
      <c r="D655" s="3"/>
      <c r="E655" s="3"/>
      <c r="F655" s="3"/>
      <c r="G655" s="3"/>
      <c r="H655" s="3"/>
      <c r="I655" s="3"/>
      <c r="J655" s="3"/>
      <c r="K655" s="3"/>
      <c r="L655" s="3"/>
      <c r="M655"/>
      <c r="N655"/>
      <c r="O655"/>
      <c r="P655"/>
      <c r="Q655"/>
      <c r="R655"/>
      <c r="S655"/>
      <c r="T655"/>
      <c r="U655"/>
      <c r="V655"/>
      <c r="W655"/>
      <c r="X655"/>
      <c r="Y655"/>
    </row>
    <row r="656" spans="1:25" s="29" customFormat="1" x14ac:dyDescent="0.45">
      <c r="A656"/>
      <c r="C656" s="2"/>
      <c r="D656" s="3"/>
      <c r="E656" s="3"/>
      <c r="F656" s="3"/>
      <c r="G656" s="3"/>
      <c r="H656" s="3"/>
      <c r="I656" s="3"/>
      <c r="J656" s="3"/>
      <c r="K656" s="3"/>
      <c r="L656" s="3"/>
      <c r="M656"/>
      <c r="N656"/>
      <c r="O656"/>
      <c r="P656"/>
      <c r="Q656"/>
      <c r="R656"/>
      <c r="S656"/>
      <c r="T656"/>
      <c r="U656"/>
      <c r="V656"/>
      <c r="W656"/>
      <c r="X656"/>
      <c r="Y656"/>
    </row>
    <row r="657" spans="1:25" s="29" customFormat="1" x14ac:dyDescent="0.45">
      <c r="A657"/>
      <c r="C657" s="2"/>
      <c r="D657" s="3"/>
      <c r="E657" s="3"/>
      <c r="F657" s="3"/>
      <c r="G657" s="3"/>
      <c r="H657" s="3"/>
      <c r="I657" s="3"/>
      <c r="J657" s="3"/>
      <c r="K657" s="3"/>
      <c r="L657" s="3"/>
      <c r="M657"/>
      <c r="N657"/>
      <c r="O657"/>
      <c r="P657"/>
      <c r="Q657"/>
      <c r="R657"/>
      <c r="S657"/>
      <c r="T657"/>
      <c r="U657"/>
      <c r="V657"/>
      <c r="W657"/>
      <c r="X657"/>
      <c r="Y657"/>
    </row>
    <row r="658" spans="1:25" s="29" customFormat="1" x14ac:dyDescent="0.45">
      <c r="A658"/>
      <c r="C658" s="2"/>
      <c r="D658" s="3"/>
      <c r="E658" s="3"/>
      <c r="F658" s="3"/>
      <c r="G658" s="3"/>
      <c r="H658" s="3"/>
      <c r="I658" s="3"/>
      <c r="J658" s="3"/>
      <c r="K658" s="3"/>
      <c r="L658" s="3"/>
      <c r="M658"/>
      <c r="N658"/>
      <c r="O658"/>
      <c r="P658"/>
      <c r="Q658"/>
      <c r="R658"/>
      <c r="S658"/>
      <c r="T658"/>
      <c r="U658"/>
      <c r="V658"/>
      <c r="W658"/>
      <c r="X658"/>
      <c r="Y658"/>
    </row>
    <row r="659" spans="1:25" s="29" customFormat="1" x14ac:dyDescent="0.45">
      <c r="A659"/>
      <c r="C659" s="2"/>
      <c r="D659" s="3"/>
      <c r="E659" s="3"/>
      <c r="F659" s="3"/>
      <c r="G659" s="3"/>
      <c r="H659" s="3"/>
      <c r="I659" s="3"/>
      <c r="J659" s="3"/>
      <c r="K659" s="3"/>
      <c r="L659" s="3"/>
      <c r="M659"/>
      <c r="N659"/>
      <c r="O659"/>
      <c r="P659"/>
      <c r="Q659"/>
      <c r="R659"/>
      <c r="S659"/>
      <c r="T659"/>
      <c r="U659"/>
      <c r="V659"/>
      <c r="W659"/>
      <c r="X659"/>
      <c r="Y659"/>
    </row>
    <row r="660" spans="1:25" s="29" customFormat="1" x14ac:dyDescent="0.45">
      <c r="A660"/>
      <c r="C660" s="2"/>
      <c r="D660" s="3"/>
      <c r="E660" s="3"/>
      <c r="F660" s="3"/>
      <c r="G660" s="3"/>
      <c r="H660" s="3"/>
      <c r="I660" s="3"/>
      <c r="J660" s="3"/>
      <c r="K660" s="3"/>
      <c r="L660" s="3"/>
      <c r="M660"/>
      <c r="N660"/>
      <c r="O660"/>
      <c r="P660"/>
      <c r="Q660"/>
      <c r="R660"/>
      <c r="S660"/>
      <c r="T660"/>
      <c r="U660"/>
      <c r="V660"/>
      <c r="W660"/>
      <c r="X660"/>
      <c r="Y660"/>
    </row>
    <row r="661" spans="1:25" s="29" customFormat="1" x14ac:dyDescent="0.45">
      <c r="A661"/>
      <c r="C661" s="2"/>
      <c r="D661" s="3"/>
      <c r="E661" s="3"/>
      <c r="F661" s="3"/>
      <c r="G661" s="3"/>
      <c r="H661" s="3"/>
      <c r="I661" s="3"/>
      <c r="J661" s="3"/>
      <c r="K661" s="3"/>
      <c r="L661" s="3"/>
      <c r="M661"/>
      <c r="N661"/>
      <c r="O661"/>
      <c r="P661"/>
      <c r="Q661"/>
      <c r="R661"/>
      <c r="S661"/>
      <c r="T661"/>
      <c r="U661"/>
      <c r="V661"/>
      <c r="W661"/>
      <c r="X661"/>
      <c r="Y661"/>
    </row>
    <row r="662" spans="1:25" s="29" customFormat="1" x14ac:dyDescent="0.45">
      <c r="A662"/>
      <c r="C662" s="2"/>
      <c r="D662" s="3"/>
      <c r="E662" s="3"/>
      <c r="F662" s="3"/>
      <c r="G662" s="3"/>
      <c r="H662" s="3"/>
      <c r="I662" s="3"/>
      <c r="J662" s="3"/>
      <c r="K662" s="3"/>
      <c r="L662" s="3"/>
      <c r="M662"/>
      <c r="N662"/>
      <c r="O662"/>
      <c r="P662"/>
      <c r="Q662"/>
      <c r="R662"/>
      <c r="S662"/>
      <c r="T662"/>
      <c r="U662"/>
      <c r="V662"/>
      <c r="W662"/>
      <c r="X662"/>
      <c r="Y662"/>
    </row>
    <row r="663" spans="1:25" s="29" customFormat="1" x14ac:dyDescent="0.45">
      <c r="A663"/>
      <c r="C663" s="2"/>
      <c r="D663" s="3"/>
      <c r="E663" s="3"/>
      <c r="F663" s="3"/>
      <c r="G663" s="3"/>
      <c r="H663" s="3"/>
      <c r="I663" s="3"/>
      <c r="J663" s="3"/>
      <c r="K663" s="3"/>
      <c r="L663" s="3"/>
      <c r="M663"/>
      <c r="N663"/>
      <c r="O663"/>
      <c r="P663"/>
      <c r="Q663"/>
      <c r="R663"/>
      <c r="S663"/>
      <c r="T663"/>
      <c r="U663"/>
      <c r="V663"/>
      <c r="W663"/>
      <c r="X663"/>
      <c r="Y663"/>
    </row>
    <row r="664" spans="1:25" s="29" customFormat="1" x14ac:dyDescent="0.45">
      <c r="A664"/>
      <c r="C664" s="2"/>
      <c r="D664" s="3"/>
      <c r="E664" s="3"/>
      <c r="F664" s="3"/>
      <c r="G664" s="3"/>
      <c r="H664" s="3"/>
      <c r="I664" s="3"/>
      <c r="J664" s="3"/>
      <c r="K664" s="3"/>
      <c r="L664" s="3"/>
      <c r="M664"/>
      <c r="N664"/>
      <c r="O664"/>
      <c r="P664"/>
      <c r="Q664"/>
      <c r="R664"/>
      <c r="S664"/>
      <c r="T664"/>
      <c r="U664"/>
      <c r="V664"/>
      <c r="W664"/>
      <c r="X664"/>
      <c r="Y664"/>
    </row>
    <row r="665" spans="1:25" s="29" customFormat="1" x14ac:dyDescent="0.45">
      <c r="A665"/>
      <c r="C665" s="2"/>
      <c r="D665" s="3"/>
      <c r="E665" s="3"/>
      <c r="F665" s="3"/>
      <c r="G665" s="3"/>
      <c r="H665" s="3"/>
      <c r="I665" s="3"/>
      <c r="J665" s="3"/>
      <c r="K665" s="3"/>
      <c r="L665" s="3"/>
      <c r="M665"/>
      <c r="N665"/>
      <c r="O665"/>
      <c r="P665"/>
      <c r="Q665"/>
      <c r="R665"/>
      <c r="S665"/>
      <c r="T665"/>
      <c r="U665"/>
      <c r="V665"/>
      <c r="W665"/>
      <c r="X665"/>
      <c r="Y665"/>
    </row>
    <row r="666" spans="1:25" s="29" customFormat="1" x14ac:dyDescent="0.45">
      <c r="A666"/>
      <c r="C666" s="2"/>
      <c r="D666" s="3"/>
      <c r="E666" s="3"/>
      <c r="F666" s="3"/>
      <c r="G666" s="3"/>
      <c r="H666" s="3"/>
      <c r="I666" s="3"/>
      <c r="J666" s="3"/>
      <c r="K666" s="3"/>
      <c r="L666" s="3"/>
      <c r="M666"/>
      <c r="N666"/>
      <c r="O666"/>
      <c r="P666"/>
      <c r="Q666"/>
      <c r="R666"/>
      <c r="S666"/>
      <c r="T666"/>
      <c r="U666"/>
      <c r="V666"/>
      <c r="W666"/>
      <c r="X666"/>
      <c r="Y666"/>
    </row>
    <row r="667" spans="1:25" s="29" customFormat="1" x14ac:dyDescent="0.45">
      <c r="A667"/>
      <c r="C667" s="2"/>
      <c r="D667" s="3"/>
      <c r="E667" s="3"/>
      <c r="F667" s="3"/>
      <c r="G667" s="3"/>
      <c r="H667" s="3"/>
      <c r="I667" s="3"/>
      <c r="J667" s="3"/>
      <c r="K667" s="3"/>
      <c r="L667" s="3"/>
      <c r="M667"/>
      <c r="N667"/>
      <c r="O667"/>
      <c r="P667"/>
      <c r="Q667"/>
      <c r="R667"/>
      <c r="S667"/>
      <c r="T667"/>
      <c r="U667"/>
      <c r="V667"/>
      <c r="W667"/>
      <c r="X667"/>
      <c r="Y667"/>
    </row>
    <row r="668" spans="1:25" s="29" customFormat="1" x14ac:dyDescent="0.45">
      <c r="A668"/>
      <c r="C668" s="2"/>
      <c r="D668" s="3"/>
      <c r="E668" s="3"/>
      <c r="F668" s="3"/>
      <c r="G668" s="3"/>
      <c r="H668" s="3"/>
      <c r="I668" s="3"/>
      <c r="J668" s="3"/>
      <c r="K668" s="3"/>
      <c r="L668" s="3"/>
      <c r="M668"/>
      <c r="N668"/>
      <c r="O668"/>
      <c r="P668"/>
      <c r="Q668"/>
      <c r="R668"/>
      <c r="S668"/>
      <c r="T668"/>
      <c r="U668"/>
      <c r="V668"/>
      <c r="W668"/>
      <c r="X668"/>
      <c r="Y668"/>
    </row>
    <row r="669" spans="1:25" s="29" customFormat="1" x14ac:dyDescent="0.45">
      <c r="A669"/>
      <c r="C669" s="2"/>
      <c r="D669" s="3"/>
      <c r="E669" s="3"/>
      <c r="F669" s="3"/>
      <c r="G669" s="3"/>
      <c r="H669" s="3"/>
      <c r="I669" s="3"/>
      <c r="J669" s="3"/>
      <c r="K669" s="3"/>
      <c r="L669" s="3"/>
      <c r="M669"/>
      <c r="N669"/>
      <c r="O669"/>
      <c r="P669"/>
      <c r="Q669"/>
      <c r="R669"/>
      <c r="S669"/>
      <c r="T669"/>
      <c r="U669"/>
      <c r="V669"/>
      <c r="W669"/>
      <c r="X669"/>
      <c r="Y669"/>
    </row>
    <row r="670" spans="1:25" s="29" customFormat="1" x14ac:dyDescent="0.45">
      <c r="A670"/>
      <c r="C670" s="2"/>
      <c r="D670" s="3"/>
      <c r="E670" s="3"/>
      <c r="F670" s="3"/>
      <c r="G670" s="3"/>
      <c r="H670" s="3"/>
      <c r="I670" s="3"/>
      <c r="J670" s="3"/>
      <c r="K670" s="3"/>
      <c r="L670" s="3"/>
      <c r="M670"/>
      <c r="N670"/>
      <c r="O670"/>
      <c r="P670"/>
      <c r="Q670"/>
      <c r="R670"/>
      <c r="S670"/>
      <c r="T670"/>
      <c r="U670"/>
      <c r="V670"/>
      <c r="W670"/>
      <c r="X670"/>
      <c r="Y670"/>
    </row>
    <row r="671" spans="1:25" s="29" customFormat="1" x14ac:dyDescent="0.45">
      <c r="A671"/>
      <c r="C671" s="2"/>
      <c r="D671" s="3"/>
      <c r="E671" s="3"/>
      <c r="F671" s="3"/>
      <c r="G671" s="3"/>
      <c r="H671" s="3"/>
      <c r="I671" s="3"/>
      <c r="J671" s="3"/>
      <c r="K671" s="3"/>
      <c r="L671" s="3"/>
      <c r="M671"/>
      <c r="N671"/>
      <c r="O671"/>
      <c r="P671"/>
      <c r="Q671"/>
      <c r="R671"/>
      <c r="S671"/>
      <c r="T671"/>
      <c r="U671"/>
      <c r="V671"/>
      <c r="W671"/>
      <c r="X671"/>
      <c r="Y671"/>
    </row>
    <row r="672" spans="1:25" s="29" customFormat="1" x14ac:dyDescent="0.45">
      <c r="A672"/>
      <c r="C672" s="2"/>
      <c r="D672" s="3"/>
      <c r="E672" s="3"/>
      <c r="F672" s="3"/>
      <c r="G672" s="3"/>
      <c r="H672" s="3"/>
      <c r="I672" s="3"/>
      <c r="J672" s="3"/>
      <c r="K672" s="3"/>
      <c r="L672" s="3"/>
      <c r="M672"/>
      <c r="N672"/>
      <c r="O672"/>
      <c r="P672"/>
      <c r="Q672"/>
      <c r="R672"/>
      <c r="S672"/>
      <c r="T672"/>
      <c r="U672"/>
      <c r="V672"/>
      <c r="W672"/>
      <c r="X672"/>
      <c r="Y672"/>
    </row>
    <row r="673" spans="1:25" s="29" customFormat="1" x14ac:dyDescent="0.45">
      <c r="A673"/>
      <c r="C673" s="2"/>
      <c r="D673" s="3"/>
      <c r="E673" s="3"/>
      <c r="F673" s="3"/>
      <c r="G673" s="3"/>
      <c r="H673" s="3"/>
      <c r="I673" s="3"/>
      <c r="J673" s="3"/>
      <c r="K673" s="3"/>
      <c r="L673" s="3"/>
      <c r="M673"/>
      <c r="N673"/>
      <c r="O673"/>
      <c r="P673"/>
      <c r="Q673"/>
      <c r="R673"/>
      <c r="S673"/>
      <c r="T673"/>
      <c r="U673"/>
      <c r="V673"/>
      <c r="W673"/>
      <c r="X673"/>
      <c r="Y673"/>
    </row>
    <row r="674" spans="1:25" s="29" customFormat="1" x14ac:dyDescent="0.45">
      <c r="A674"/>
      <c r="C674" s="2"/>
      <c r="D674" s="3"/>
      <c r="E674" s="3"/>
      <c r="F674" s="3"/>
      <c r="G674" s="3"/>
      <c r="H674" s="3"/>
      <c r="I674" s="3"/>
      <c r="J674" s="3"/>
      <c r="K674" s="3"/>
      <c r="L674" s="3"/>
      <c r="M674"/>
      <c r="N674"/>
      <c r="O674"/>
      <c r="P674"/>
      <c r="Q674"/>
      <c r="R674"/>
      <c r="S674"/>
      <c r="T674"/>
      <c r="U674"/>
      <c r="V674"/>
      <c r="W674"/>
      <c r="X674"/>
      <c r="Y674"/>
    </row>
    <row r="675" spans="1:25" s="29" customFormat="1" x14ac:dyDescent="0.45">
      <c r="A675"/>
      <c r="C675" s="2"/>
      <c r="D675" s="3"/>
      <c r="E675" s="3"/>
      <c r="F675" s="3"/>
      <c r="G675" s="3"/>
      <c r="H675" s="3"/>
      <c r="I675" s="3"/>
      <c r="J675" s="3"/>
      <c r="K675" s="3"/>
      <c r="L675" s="3"/>
      <c r="M675"/>
      <c r="N675"/>
      <c r="O675"/>
      <c r="P675"/>
      <c r="Q675"/>
      <c r="R675"/>
      <c r="S675"/>
      <c r="T675"/>
      <c r="U675"/>
      <c r="V675"/>
      <c r="W675"/>
      <c r="X675"/>
      <c r="Y675"/>
    </row>
    <row r="676" spans="1:25" s="29" customFormat="1" x14ac:dyDescent="0.45">
      <c r="A676"/>
      <c r="C676" s="2"/>
      <c r="D676" s="3"/>
      <c r="E676" s="3"/>
      <c r="F676" s="3"/>
      <c r="G676" s="3"/>
      <c r="H676" s="3"/>
      <c r="I676" s="3"/>
      <c r="J676" s="3"/>
      <c r="K676" s="3"/>
      <c r="L676" s="3"/>
      <c r="M676"/>
      <c r="N676"/>
      <c r="O676"/>
      <c r="P676"/>
      <c r="Q676"/>
      <c r="R676"/>
      <c r="S676"/>
      <c r="T676"/>
      <c r="U676"/>
      <c r="V676"/>
      <c r="W676"/>
      <c r="X676"/>
      <c r="Y676"/>
    </row>
  </sheetData>
  <conditionalFormatting sqref="M2 I1:I1048576">
    <cfRule type="cellIs" dxfId="15" priority="82" operator="equal">
      <formula>"Failed"</formula>
    </cfRule>
    <cfRule type="cellIs" dxfId="14" priority="83" operator="equal">
      <formula>"Not Run"</formula>
    </cfRule>
    <cfRule type="cellIs" dxfId="13" priority="84" operator="equal">
      <formula>"Passed"</formula>
    </cfRule>
  </conditionalFormatting>
  <conditionalFormatting sqref="I2:I948">
    <cfRule type="containsText" dxfId="12" priority="81" operator="containsText" text="Blocked">
      <formula>NOT(ISERROR(SEARCH("Blocked",I2)))</formula>
    </cfRule>
  </conditionalFormatting>
  <dataValidations count="5">
    <dataValidation type="list" allowBlank="1" showInputMessage="1" showErrorMessage="1" sqref="I2:I173" xr:uid="{A2F2410B-C5FC-451C-AD2E-2A8596FB054D}">
      <formula1>"Passed,Failed,Blocked,Not Run"</formula1>
    </dataValidation>
    <dataValidation type="list" allowBlank="1" showInputMessage="1" showErrorMessage="1" sqref="C2 B29:C30" xr:uid="{297AAAF2-E6A4-4498-9227-113B83E0E6C0}">
      <formula1>"Observation, Header, Enfd of File"</formula1>
    </dataValidation>
    <dataValidation type="list" allowBlank="1" showInputMessage="1" showErrorMessage="1" sqref="M2" xr:uid="{89F71272-AA20-45C2-921E-BBD482E403EE}">
      <formula1>"Correct,Incorrect,Suggestion"</formula1>
    </dataValidation>
    <dataValidation type="list" allowBlank="1" showInputMessage="1" showErrorMessage="1" sqref="B2:B28" xr:uid="{E1011EEA-D31F-46BE-844C-110CEDDF0BEC}">
      <formula1>"Observation, Header, End of File"</formula1>
    </dataValidation>
    <dataValidation type="list" allowBlank="1" showInputMessage="1" showErrorMessage="1" sqref="I174:I1048576" xr:uid="{ED46142D-DDD7-49DB-AD0F-0444807B4258}">
      <formula1>"Correct,Incorrect,Suggestion,Can't Tested"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4E4DC-400E-4896-857E-DFCE62706C58}">
  <dimension ref="A1:Y652"/>
  <sheetViews>
    <sheetView zoomScale="71" zoomScaleNormal="85" workbookViewId="0">
      <pane ySplit="1" topLeftCell="A32" activePane="bottomLeft" state="frozen"/>
      <selection pane="bottomLeft" activeCell="K25" sqref="K25"/>
    </sheetView>
  </sheetViews>
  <sheetFormatPr defaultRowHeight="14.25" x14ac:dyDescent="0.45"/>
  <cols>
    <col min="1" max="1" width="8.73046875" customWidth="1"/>
    <col min="2" max="2" width="16.3984375" style="29" customWidth="1"/>
    <col min="3" max="3" width="27" style="2" customWidth="1"/>
    <col min="4" max="4" width="40.86328125" style="3" customWidth="1"/>
    <col min="5" max="6" width="28" style="3" customWidth="1"/>
    <col min="7" max="7" width="27.6640625" style="3" customWidth="1"/>
    <col min="8" max="8" width="36.1328125" style="3" customWidth="1"/>
    <col min="9" max="9" width="19.59765625" style="3" customWidth="1"/>
    <col min="10" max="12" width="23.1328125" style="3" customWidth="1"/>
    <col min="13" max="13" width="23.59765625" customWidth="1"/>
    <col min="14" max="14" width="18.73046875" customWidth="1"/>
    <col min="15" max="25" width="0" hidden="1" customWidth="1"/>
  </cols>
  <sheetData>
    <row r="1" spans="1:25" s="2" customFormat="1" ht="24.75" x14ac:dyDescent="0.45">
      <c r="A1" s="15" t="s">
        <v>3</v>
      </c>
      <c r="B1" s="15" t="s">
        <v>6</v>
      </c>
      <c r="C1" s="15" t="s">
        <v>36</v>
      </c>
      <c r="D1" s="15" t="s">
        <v>0</v>
      </c>
      <c r="E1" s="26" t="s">
        <v>46</v>
      </c>
      <c r="F1" s="15" t="s">
        <v>1</v>
      </c>
      <c r="G1" s="15" t="s">
        <v>2</v>
      </c>
      <c r="H1" s="15" t="s">
        <v>7</v>
      </c>
      <c r="I1" s="16" t="s">
        <v>5</v>
      </c>
      <c r="J1" s="27" t="s">
        <v>33</v>
      </c>
      <c r="K1" s="14" t="s">
        <v>32</v>
      </c>
      <c r="L1" s="17" t="s">
        <v>5</v>
      </c>
      <c r="M1" s="13" t="s">
        <v>33</v>
      </c>
      <c r="N1" s="17" t="s">
        <v>32</v>
      </c>
      <c r="O1" s="1"/>
      <c r="P1" s="1"/>
      <c r="Q1" s="1"/>
      <c r="R1" s="1"/>
      <c r="S1" s="1"/>
      <c r="T1" s="1"/>
      <c r="U1" s="1"/>
      <c r="V1" s="1"/>
      <c r="W1" s="1"/>
      <c r="X1" s="1"/>
      <c r="Y1" s="1"/>
    </row>
    <row r="2" spans="1:25" x14ac:dyDescent="0.45">
      <c r="A2" s="19"/>
      <c r="B2" s="28" t="s">
        <v>34</v>
      </c>
      <c r="C2" s="22"/>
      <c r="D2" s="18" t="s">
        <v>348</v>
      </c>
      <c r="M2" s="3"/>
    </row>
    <row r="3" spans="1:25" ht="199.5" x14ac:dyDescent="0.45">
      <c r="A3" s="20" t="str">
        <f>"TC"&amp;TEXT(ROW(A1)+58,"00")</f>
        <v>TC59</v>
      </c>
      <c r="B3" s="28" t="s">
        <v>31</v>
      </c>
      <c r="C3" s="24" t="s">
        <v>347</v>
      </c>
      <c r="D3" s="3" t="s">
        <v>349</v>
      </c>
      <c r="E3" s="3" t="s">
        <v>350</v>
      </c>
      <c r="F3" s="3" t="s">
        <v>351</v>
      </c>
      <c r="G3" s="3" t="s">
        <v>352</v>
      </c>
      <c r="H3" s="3" t="s">
        <v>353</v>
      </c>
      <c r="I3" s="3" t="s">
        <v>643</v>
      </c>
      <c r="J3" s="3" t="s">
        <v>354</v>
      </c>
      <c r="K3" s="23" t="s">
        <v>63</v>
      </c>
    </row>
    <row r="4" spans="1:25" ht="171" x14ac:dyDescent="0.45">
      <c r="A4" s="20" t="str">
        <f t="shared" ref="A4:A38" si="0">"TC"&amp;TEXT(ROW(A2)+58,"00")</f>
        <v>TC60</v>
      </c>
      <c r="B4" s="28" t="s">
        <v>31</v>
      </c>
      <c r="C4" s="24" t="s">
        <v>355</v>
      </c>
      <c r="D4" s="3" t="s">
        <v>356</v>
      </c>
      <c r="E4" s="3" t="s">
        <v>357</v>
      </c>
      <c r="F4" s="3" t="s">
        <v>359</v>
      </c>
      <c r="G4" s="3" t="s">
        <v>358</v>
      </c>
      <c r="H4" s="3" t="s">
        <v>360</v>
      </c>
      <c r="I4" s="3" t="s">
        <v>643</v>
      </c>
      <c r="J4" s="3" t="s">
        <v>361</v>
      </c>
      <c r="K4" s="3" t="s">
        <v>63</v>
      </c>
    </row>
    <row r="5" spans="1:25" ht="85.5" x14ac:dyDescent="0.45">
      <c r="A5" s="20" t="str">
        <f t="shared" si="0"/>
        <v>TC61</v>
      </c>
      <c r="B5" s="28" t="s">
        <v>31</v>
      </c>
      <c r="C5" s="24" t="s">
        <v>355</v>
      </c>
      <c r="D5" s="3" t="s">
        <v>362</v>
      </c>
      <c r="E5" s="3" t="s">
        <v>357</v>
      </c>
      <c r="F5" s="3" t="s">
        <v>364</v>
      </c>
      <c r="G5" s="3" t="s">
        <v>363</v>
      </c>
      <c r="H5" s="3" t="s">
        <v>365</v>
      </c>
      <c r="I5" s="3" t="s">
        <v>643</v>
      </c>
      <c r="J5" s="3" t="s">
        <v>366</v>
      </c>
      <c r="K5" s="23" t="s">
        <v>63</v>
      </c>
    </row>
    <row r="6" spans="1:25" ht="99.75" x14ac:dyDescent="0.45">
      <c r="A6" s="20" t="str">
        <f t="shared" si="0"/>
        <v>TC62</v>
      </c>
      <c r="B6" s="28" t="s">
        <v>31</v>
      </c>
      <c r="C6" s="24" t="s">
        <v>372</v>
      </c>
      <c r="D6" s="3" t="s">
        <v>367</v>
      </c>
      <c r="E6" s="3" t="s">
        <v>357</v>
      </c>
      <c r="F6" s="3" t="s">
        <v>368</v>
      </c>
      <c r="G6" s="3" t="s">
        <v>369</v>
      </c>
      <c r="H6" s="3" t="s">
        <v>370</v>
      </c>
      <c r="I6" s="3" t="s">
        <v>643</v>
      </c>
      <c r="J6" s="3" t="s">
        <v>371</v>
      </c>
      <c r="K6" s="3" t="s">
        <v>63</v>
      </c>
    </row>
    <row r="7" spans="1:25" ht="197.65" customHeight="1" x14ac:dyDescent="0.45">
      <c r="A7" s="20" t="str">
        <f t="shared" si="0"/>
        <v>TC63</v>
      </c>
      <c r="B7" s="28" t="s">
        <v>31</v>
      </c>
      <c r="C7" s="24" t="s">
        <v>373</v>
      </c>
      <c r="D7" s="3" t="s">
        <v>374</v>
      </c>
      <c r="E7" s="3" t="s">
        <v>375</v>
      </c>
      <c r="F7" s="3" t="s">
        <v>376</v>
      </c>
      <c r="G7" s="3" t="s">
        <v>377</v>
      </c>
      <c r="H7" s="3" t="s">
        <v>378</v>
      </c>
      <c r="I7" s="3" t="s">
        <v>643</v>
      </c>
      <c r="J7" s="3" t="s">
        <v>379</v>
      </c>
      <c r="K7" s="3" t="s">
        <v>63</v>
      </c>
    </row>
    <row r="8" spans="1:25" ht="128.25" x14ac:dyDescent="0.45">
      <c r="A8" s="20" t="str">
        <f t="shared" si="0"/>
        <v>TC64</v>
      </c>
      <c r="B8" s="28" t="s">
        <v>31</v>
      </c>
      <c r="C8" s="24" t="s">
        <v>380</v>
      </c>
      <c r="D8" s="3" t="s">
        <v>381</v>
      </c>
      <c r="E8" s="3" t="s">
        <v>384</v>
      </c>
      <c r="F8" s="3" t="s">
        <v>382</v>
      </c>
      <c r="G8" s="3" t="s">
        <v>369</v>
      </c>
      <c r="H8" s="3" t="s">
        <v>383</v>
      </c>
      <c r="I8" s="3" t="s">
        <v>642</v>
      </c>
      <c r="J8" s="3" t="s">
        <v>385</v>
      </c>
      <c r="K8" s="3" t="s">
        <v>646</v>
      </c>
    </row>
    <row r="9" spans="1:25" ht="71.25" x14ac:dyDescent="0.45">
      <c r="A9" s="20" t="str">
        <f t="shared" si="0"/>
        <v>TC65</v>
      </c>
      <c r="B9" s="28" t="s">
        <v>31</v>
      </c>
      <c r="C9" s="24" t="s">
        <v>386</v>
      </c>
      <c r="D9" s="3" t="s">
        <v>387</v>
      </c>
      <c r="E9" s="3" t="s">
        <v>388</v>
      </c>
      <c r="F9" s="3" t="s">
        <v>389</v>
      </c>
      <c r="G9" s="3" t="s">
        <v>390</v>
      </c>
      <c r="H9" s="3" t="s">
        <v>391</v>
      </c>
      <c r="I9" s="3" t="s">
        <v>643</v>
      </c>
      <c r="J9" s="3" t="s">
        <v>392</v>
      </c>
      <c r="K9" s="3" t="s">
        <v>63</v>
      </c>
    </row>
    <row r="10" spans="1:25" ht="57" x14ac:dyDescent="0.45">
      <c r="A10" s="20" t="str">
        <f t="shared" si="0"/>
        <v>TC66</v>
      </c>
      <c r="B10" s="28" t="s">
        <v>31</v>
      </c>
      <c r="C10" s="24" t="s">
        <v>386</v>
      </c>
      <c r="D10" s="3" t="s">
        <v>393</v>
      </c>
      <c r="E10" s="3" t="s">
        <v>394</v>
      </c>
      <c r="F10" s="3" t="s">
        <v>395</v>
      </c>
      <c r="G10" s="3" t="s">
        <v>396</v>
      </c>
      <c r="H10" s="3" t="s">
        <v>397</v>
      </c>
      <c r="I10" s="3" t="s">
        <v>643</v>
      </c>
      <c r="J10" s="3" t="s">
        <v>398</v>
      </c>
      <c r="K10" s="3" t="s">
        <v>63</v>
      </c>
    </row>
    <row r="11" spans="1:25" ht="156.75" x14ac:dyDescent="0.45">
      <c r="A11" s="20" t="str">
        <f t="shared" si="0"/>
        <v>TC67</v>
      </c>
      <c r="B11" s="28" t="s">
        <v>31</v>
      </c>
      <c r="C11" s="24" t="s">
        <v>386</v>
      </c>
      <c r="D11" s="3" t="s">
        <v>399</v>
      </c>
      <c r="E11" s="3" t="s">
        <v>394</v>
      </c>
      <c r="F11" s="3" t="s">
        <v>400</v>
      </c>
      <c r="G11" s="3" t="s">
        <v>401</v>
      </c>
      <c r="H11" s="3" t="s">
        <v>402</v>
      </c>
      <c r="I11" s="3" t="s">
        <v>643</v>
      </c>
      <c r="J11" s="3" t="s">
        <v>403</v>
      </c>
      <c r="K11" s="3" t="s">
        <v>63</v>
      </c>
    </row>
    <row r="12" spans="1:25" ht="156.75" x14ac:dyDescent="0.45">
      <c r="A12" s="20" t="str">
        <f t="shared" si="0"/>
        <v>TC68</v>
      </c>
      <c r="B12" s="28" t="s">
        <v>31</v>
      </c>
      <c r="C12" s="24" t="s">
        <v>386</v>
      </c>
      <c r="D12" s="3" t="s">
        <v>404</v>
      </c>
      <c r="E12" s="3" t="s">
        <v>394</v>
      </c>
      <c r="F12" s="3" t="s">
        <v>405</v>
      </c>
      <c r="G12" s="3" t="s">
        <v>406</v>
      </c>
      <c r="H12" s="3" t="s">
        <v>407</v>
      </c>
      <c r="I12" s="3" t="s">
        <v>643</v>
      </c>
      <c r="J12" s="3" t="s">
        <v>403</v>
      </c>
      <c r="K12" s="3" t="s">
        <v>63</v>
      </c>
    </row>
    <row r="13" spans="1:25" ht="199.5" x14ac:dyDescent="0.45">
      <c r="A13" s="20" t="str">
        <f t="shared" si="0"/>
        <v>TC69</v>
      </c>
      <c r="B13" s="28" t="s">
        <v>31</v>
      </c>
      <c r="C13" s="24" t="s">
        <v>386</v>
      </c>
      <c r="D13" s="3" t="s">
        <v>408</v>
      </c>
      <c r="E13" s="3" t="s">
        <v>394</v>
      </c>
      <c r="F13" s="3" t="s">
        <v>409</v>
      </c>
      <c r="G13" s="3" t="s">
        <v>410</v>
      </c>
      <c r="H13" s="3" t="s">
        <v>411</v>
      </c>
      <c r="I13" s="3" t="s">
        <v>643</v>
      </c>
      <c r="J13" s="3" t="s">
        <v>412</v>
      </c>
      <c r="K13" s="3" t="s">
        <v>63</v>
      </c>
    </row>
    <row r="14" spans="1:25" ht="156.75" x14ac:dyDescent="0.45">
      <c r="A14" s="20" t="str">
        <f t="shared" si="0"/>
        <v>TC70</v>
      </c>
      <c r="B14" s="28" t="s">
        <v>31</v>
      </c>
      <c r="C14" s="24" t="s">
        <v>386</v>
      </c>
      <c r="D14" s="3" t="s">
        <v>413</v>
      </c>
      <c r="E14" s="3" t="s">
        <v>394</v>
      </c>
      <c r="F14" s="3" t="s">
        <v>414</v>
      </c>
      <c r="G14" s="3" t="s">
        <v>415</v>
      </c>
      <c r="H14" s="3" t="s">
        <v>416</v>
      </c>
      <c r="I14" s="3" t="s">
        <v>643</v>
      </c>
      <c r="J14" s="3" t="s">
        <v>417</v>
      </c>
      <c r="K14" s="3" t="s">
        <v>63</v>
      </c>
    </row>
    <row r="15" spans="1:25" ht="156.75" x14ac:dyDescent="0.45">
      <c r="A15" s="20" t="str">
        <f t="shared" si="0"/>
        <v>TC71</v>
      </c>
      <c r="B15" s="28" t="s">
        <v>31</v>
      </c>
      <c r="C15" s="24" t="s">
        <v>386</v>
      </c>
      <c r="D15" s="3" t="s">
        <v>418</v>
      </c>
      <c r="E15" s="3" t="s">
        <v>394</v>
      </c>
      <c r="F15" s="3" t="s">
        <v>419</v>
      </c>
      <c r="G15" s="3" t="s">
        <v>420</v>
      </c>
      <c r="H15" s="3" t="s">
        <v>421</v>
      </c>
      <c r="I15" s="3" t="s">
        <v>643</v>
      </c>
      <c r="J15" s="3" t="s">
        <v>422</v>
      </c>
      <c r="K15" s="3" t="s">
        <v>63</v>
      </c>
    </row>
    <row r="16" spans="1:25" ht="156.75" x14ac:dyDescent="0.45">
      <c r="A16" s="20" t="str">
        <f t="shared" si="0"/>
        <v>TC72</v>
      </c>
      <c r="B16" s="28" t="s">
        <v>31</v>
      </c>
      <c r="C16" s="24" t="s">
        <v>386</v>
      </c>
      <c r="D16" s="3" t="s">
        <v>423</v>
      </c>
      <c r="E16" s="3" t="s">
        <v>394</v>
      </c>
      <c r="F16" s="3" t="s">
        <v>424</v>
      </c>
      <c r="G16" s="3" t="s">
        <v>425</v>
      </c>
      <c r="H16" s="3" t="s">
        <v>426</v>
      </c>
      <c r="I16" s="3" t="s">
        <v>643</v>
      </c>
      <c r="J16" s="3" t="s">
        <v>427</v>
      </c>
      <c r="K16" s="3" t="s">
        <v>63</v>
      </c>
    </row>
    <row r="17" spans="1:11" ht="85.5" x14ac:dyDescent="0.45">
      <c r="A17" s="20" t="str">
        <f t="shared" si="0"/>
        <v>TC73</v>
      </c>
      <c r="B17" s="28" t="s">
        <v>31</v>
      </c>
      <c r="C17" s="24" t="s">
        <v>386</v>
      </c>
      <c r="D17" s="3" t="s">
        <v>428</v>
      </c>
      <c r="E17" s="3" t="s">
        <v>394</v>
      </c>
      <c r="F17" s="3" t="s">
        <v>429</v>
      </c>
      <c r="G17" s="3" t="s">
        <v>369</v>
      </c>
      <c r="H17" s="3" t="s">
        <v>430</v>
      </c>
      <c r="I17" s="3" t="s">
        <v>643</v>
      </c>
      <c r="J17" s="3" t="s">
        <v>431</v>
      </c>
      <c r="K17" s="3" t="s">
        <v>63</v>
      </c>
    </row>
    <row r="18" spans="1:11" ht="156.75" x14ac:dyDescent="0.45">
      <c r="A18" s="20" t="str">
        <f t="shared" si="0"/>
        <v>TC74</v>
      </c>
      <c r="B18" s="28" t="s">
        <v>31</v>
      </c>
      <c r="C18" s="24" t="s">
        <v>386</v>
      </c>
      <c r="D18" s="3" t="s">
        <v>432</v>
      </c>
      <c r="E18" s="3" t="s">
        <v>433</v>
      </c>
      <c r="F18" s="3" t="s">
        <v>434</v>
      </c>
      <c r="G18" s="3" t="s">
        <v>435</v>
      </c>
      <c r="H18" s="3" t="s">
        <v>436</v>
      </c>
      <c r="I18" s="3" t="s">
        <v>642</v>
      </c>
      <c r="J18" s="3" t="s">
        <v>437</v>
      </c>
      <c r="K18" s="3" t="s">
        <v>438</v>
      </c>
    </row>
    <row r="19" spans="1:11" ht="85.5" x14ac:dyDescent="0.45">
      <c r="A19" s="20" t="str">
        <f t="shared" si="0"/>
        <v>TC75</v>
      </c>
      <c r="B19" s="28" t="s">
        <v>31</v>
      </c>
      <c r="C19" s="24" t="s">
        <v>439</v>
      </c>
      <c r="D19" s="3" t="s">
        <v>440</v>
      </c>
      <c r="E19" s="3" t="s">
        <v>441</v>
      </c>
      <c r="F19" s="3" t="s">
        <v>442</v>
      </c>
      <c r="G19" s="3" t="s">
        <v>443</v>
      </c>
      <c r="H19" s="3" t="s">
        <v>444</v>
      </c>
      <c r="I19" s="3" t="s">
        <v>643</v>
      </c>
      <c r="J19" s="3" t="s">
        <v>445</v>
      </c>
      <c r="K19" s="3" t="s">
        <v>63</v>
      </c>
    </row>
    <row r="20" spans="1:11" ht="71.25" x14ac:dyDescent="0.45">
      <c r="A20" s="20" t="str">
        <f t="shared" si="0"/>
        <v>TC76</v>
      </c>
      <c r="B20" s="28" t="s">
        <v>31</v>
      </c>
      <c r="C20" s="24" t="s">
        <v>439</v>
      </c>
      <c r="D20" s="3" t="s">
        <v>446</v>
      </c>
      <c r="E20" s="3" t="s">
        <v>447</v>
      </c>
      <c r="F20" s="3" t="s">
        <v>448</v>
      </c>
      <c r="G20" s="3" t="s">
        <v>369</v>
      </c>
      <c r="H20" s="3" t="s">
        <v>449</v>
      </c>
      <c r="I20" s="3" t="s">
        <v>643</v>
      </c>
      <c r="J20" s="3" t="s">
        <v>450</v>
      </c>
      <c r="K20" s="3" t="s">
        <v>63</v>
      </c>
    </row>
    <row r="21" spans="1:11" ht="85.5" x14ac:dyDescent="0.45">
      <c r="A21" s="20" t="str">
        <f t="shared" si="0"/>
        <v>TC77</v>
      </c>
      <c r="B21" s="28" t="s">
        <v>31</v>
      </c>
      <c r="C21" s="24" t="s">
        <v>439</v>
      </c>
      <c r="D21" s="3" t="s">
        <v>451</v>
      </c>
      <c r="E21" s="3" t="s">
        <v>452</v>
      </c>
      <c r="F21" s="3" t="s">
        <v>453</v>
      </c>
      <c r="G21" s="3" t="s">
        <v>369</v>
      </c>
      <c r="H21" s="3" t="s">
        <v>454</v>
      </c>
      <c r="I21" s="3" t="s">
        <v>643</v>
      </c>
      <c r="J21" s="3" t="s">
        <v>455</v>
      </c>
      <c r="K21" s="3" t="s">
        <v>63</v>
      </c>
    </row>
    <row r="22" spans="1:11" ht="156.75" x14ac:dyDescent="0.45">
      <c r="A22" s="20" t="str">
        <f t="shared" si="0"/>
        <v>TC78</v>
      </c>
      <c r="B22" s="28" t="s">
        <v>31</v>
      </c>
      <c r="C22" s="24" t="s">
        <v>439</v>
      </c>
      <c r="D22" s="3" t="s">
        <v>456</v>
      </c>
      <c r="E22" s="3" t="s">
        <v>457</v>
      </c>
      <c r="F22" s="3" t="s">
        <v>459</v>
      </c>
      <c r="G22" s="3" t="s">
        <v>458</v>
      </c>
      <c r="H22" s="3" t="s">
        <v>460</v>
      </c>
      <c r="I22" s="3" t="s">
        <v>643</v>
      </c>
      <c r="J22" s="3" t="s">
        <v>461</v>
      </c>
      <c r="K22" s="3" t="s">
        <v>63</v>
      </c>
    </row>
    <row r="23" spans="1:11" ht="114" x14ac:dyDescent="0.45">
      <c r="A23" s="20" t="str">
        <f t="shared" si="0"/>
        <v>TC79</v>
      </c>
      <c r="B23" s="28" t="s">
        <v>31</v>
      </c>
      <c r="C23" s="24" t="s">
        <v>469</v>
      </c>
      <c r="D23" s="3" t="s">
        <v>462</v>
      </c>
      <c r="E23" s="3" t="s">
        <v>463</v>
      </c>
      <c r="F23" s="3" t="s">
        <v>464</v>
      </c>
      <c r="G23" s="3" t="s">
        <v>465</v>
      </c>
      <c r="H23" s="3" t="s">
        <v>466</v>
      </c>
      <c r="I23" s="3" t="s">
        <v>643</v>
      </c>
      <c r="J23" s="3" t="s">
        <v>148</v>
      </c>
      <c r="K23" s="3" t="s">
        <v>63</v>
      </c>
    </row>
    <row r="24" spans="1:11" ht="99.75" x14ac:dyDescent="0.45">
      <c r="A24" s="20" t="str">
        <f t="shared" si="0"/>
        <v>TC80</v>
      </c>
      <c r="B24" s="28" t="s">
        <v>31</v>
      </c>
      <c r="C24" s="24" t="s">
        <v>469</v>
      </c>
      <c r="D24" s="3" t="s">
        <v>467</v>
      </c>
      <c r="E24" s="3" t="s">
        <v>468</v>
      </c>
      <c r="F24" s="3" t="s">
        <v>470</v>
      </c>
      <c r="G24" s="3" t="s">
        <v>63</v>
      </c>
      <c r="H24" s="3" t="s">
        <v>471</v>
      </c>
      <c r="I24" s="3" t="s">
        <v>642</v>
      </c>
      <c r="J24" s="3" t="s">
        <v>472</v>
      </c>
      <c r="K24" s="3" t="s">
        <v>647</v>
      </c>
    </row>
    <row r="25" spans="1:11" ht="185.25" x14ac:dyDescent="0.45">
      <c r="A25" s="20" t="str">
        <f t="shared" si="0"/>
        <v>TC81</v>
      </c>
      <c r="B25" s="28" t="s">
        <v>31</v>
      </c>
      <c r="C25" s="24" t="s">
        <v>469</v>
      </c>
      <c r="D25" s="3" t="s">
        <v>473</v>
      </c>
      <c r="E25" s="3" t="s">
        <v>474</v>
      </c>
      <c r="F25" s="3" t="s">
        <v>475</v>
      </c>
      <c r="G25" s="3" t="s">
        <v>63</v>
      </c>
      <c r="H25" s="3" t="s">
        <v>476</v>
      </c>
      <c r="I25" s="3" t="s">
        <v>643</v>
      </c>
      <c r="J25" s="3" t="s">
        <v>477</v>
      </c>
      <c r="K25" s="3" t="s">
        <v>63</v>
      </c>
    </row>
    <row r="26" spans="1:11" ht="185.25" x14ac:dyDescent="0.45">
      <c r="A26" s="20" t="str">
        <f t="shared" si="0"/>
        <v>TC82</v>
      </c>
      <c r="B26" s="28" t="s">
        <v>31</v>
      </c>
      <c r="C26" s="24" t="s">
        <v>469</v>
      </c>
      <c r="D26" s="3" t="s">
        <v>478</v>
      </c>
      <c r="E26" s="3" t="s">
        <v>479</v>
      </c>
      <c r="F26" s="3" t="s">
        <v>480</v>
      </c>
      <c r="G26" s="3" t="s">
        <v>63</v>
      </c>
      <c r="H26" s="3" t="s">
        <v>481</v>
      </c>
      <c r="I26" s="3" t="s">
        <v>643</v>
      </c>
      <c r="J26" s="3" t="s">
        <v>482</v>
      </c>
      <c r="K26" s="3" t="s">
        <v>63</v>
      </c>
    </row>
    <row r="27" spans="1:11" ht="142.5" x14ac:dyDescent="0.45">
      <c r="A27" s="20" t="str">
        <f t="shared" si="0"/>
        <v>TC83</v>
      </c>
      <c r="B27" s="28" t="s">
        <v>31</v>
      </c>
      <c r="C27" s="24" t="s">
        <v>469</v>
      </c>
      <c r="D27" s="3" t="s">
        <v>483</v>
      </c>
      <c r="E27" s="3" t="s">
        <v>484</v>
      </c>
      <c r="F27" s="3" t="s">
        <v>485</v>
      </c>
      <c r="G27" s="3" t="s">
        <v>486</v>
      </c>
      <c r="H27" s="3" t="s">
        <v>487</v>
      </c>
      <c r="I27" s="3" t="s">
        <v>643</v>
      </c>
      <c r="J27" s="3" t="s">
        <v>488</v>
      </c>
      <c r="K27" s="3" t="s">
        <v>63</v>
      </c>
    </row>
    <row r="28" spans="1:11" ht="85.5" x14ac:dyDescent="0.45">
      <c r="A28" s="20" t="str">
        <f t="shared" si="0"/>
        <v>TC84</v>
      </c>
      <c r="B28" s="28" t="s">
        <v>31</v>
      </c>
      <c r="C28" s="24" t="s">
        <v>469</v>
      </c>
      <c r="D28" s="3" t="s">
        <v>489</v>
      </c>
      <c r="E28" s="3" t="s">
        <v>491</v>
      </c>
      <c r="F28" s="3" t="s">
        <v>490</v>
      </c>
      <c r="G28" s="3" t="s">
        <v>63</v>
      </c>
      <c r="H28" s="3" t="s">
        <v>492</v>
      </c>
      <c r="I28" s="3" t="s">
        <v>643</v>
      </c>
      <c r="J28" s="3" t="s">
        <v>493</v>
      </c>
      <c r="K28" s="3" t="s">
        <v>63</v>
      </c>
    </row>
    <row r="29" spans="1:11" ht="242.25" x14ac:dyDescent="0.45">
      <c r="A29" s="20" t="str">
        <f t="shared" si="0"/>
        <v>TC85</v>
      </c>
      <c r="B29" s="28" t="s">
        <v>31</v>
      </c>
      <c r="C29" s="24" t="s">
        <v>469</v>
      </c>
      <c r="D29" s="3" t="s">
        <v>494</v>
      </c>
      <c r="E29" s="3" t="s">
        <v>495</v>
      </c>
      <c r="F29" s="3" t="s">
        <v>496</v>
      </c>
      <c r="G29" s="3" t="s">
        <v>63</v>
      </c>
      <c r="H29" s="3" t="s">
        <v>497</v>
      </c>
      <c r="I29" s="3" t="s">
        <v>643</v>
      </c>
      <c r="J29" s="3" t="s">
        <v>498</v>
      </c>
      <c r="K29" s="3" t="s">
        <v>63</v>
      </c>
    </row>
    <row r="30" spans="1:11" ht="128.25" x14ac:dyDescent="0.45">
      <c r="A30" s="20" t="str">
        <f t="shared" si="0"/>
        <v>TC86</v>
      </c>
      <c r="B30" s="28" t="s">
        <v>31</v>
      </c>
      <c r="C30" s="24" t="s">
        <v>499</v>
      </c>
      <c r="D30" s="3" t="s">
        <v>500</v>
      </c>
      <c r="E30" s="3" t="s">
        <v>502</v>
      </c>
      <c r="F30" s="3" t="s">
        <v>501</v>
      </c>
      <c r="G30" s="3" t="s">
        <v>63</v>
      </c>
      <c r="H30" s="3" t="s">
        <v>503</v>
      </c>
      <c r="I30" s="3" t="s">
        <v>643</v>
      </c>
      <c r="J30" s="3" t="s">
        <v>504</v>
      </c>
      <c r="K30" s="3" t="s">
        <v>63</v>
      </c>
    </row>
    <row r="31" spans="1:11" ht="185.25" x14ac:dyDescent="0.45">
      <c r="A31" s="20" t="str">
        <f t="shared" si="0"/>
        <v>TC87</v>
      </c>
      <c r="B31" s="28" t="s">
        <v>31</v>
      </c>
      <c r="C31" s="24" t="s">
        <v>499</v>
      </c>
      <c r="D31" s="3" t="s">
        <v>505</v>
      </c>
      <c r="E31" s="3" t="s">
        <v>506</v>
      </c>
      <c r="F31" s="3" t="s">
        <v>507</v>
      </c>
      <c r="G31" s="3" t="s">
        <v>63</v>
      </c>
      <c r="H31" s="3" t="s">
        <v>508</v>
      </c>
      <c r="I31" s="3" t="s">
        <v>643</v>
      </c>
      <c r="J31" s="3" t="s">
        <v>509</v>
      </c>
      <c r="K31" s="3" t="s">
        <v>63</v>
      </c>
    </row>
    <row r="32" spans="1:11" ht="142.5" x14ac:dyDescent="0.45">
      <c r="A32" s="20" t="str">
        <f t="shared" si="0"/>
        <v>TC88</v>
      </c>
      <c r="B32" s="28" t="s">
        <v>31</v>
      </c>
      <c r="C32" s="24" t="s">
        <v>510</v>
      </c>
      <c r="D32" s="3" t="s">
        <v>511</v>
      </c>
      <c r="E32" s="3" t="s">
        <v>512</v>
      </c>
      <c r="F32" s="3" t="s">
        <v>513</v>
      </c>
      <c r="G32" s="3" t="s">
        <v>63</v>
      </c>
      <c r="H32" s="3" t="s">
        <v>514</v>
      </c>
      <c r="I32" s="3" t="s">
        <v>643</v>
      </c>
      <c r="J32" s="3" t="s">
        <v>515</v>
      </c>
      <c r="K32" s="3" t="s">
        <v>63</v>
      </c>
    </row>
    <row r="33" spans="1:12" ht="128.25" x14ac:dyDescent="0.45">
      <c r="A33" s="20" t="str">
        <f t="shared" si="0"/>
        <v>TC89</v>
      </c>
      <c r="B33" s="28" t="s">
        <v>31</v>
      </c>
      <c r="C33" s="24" t="s">
        <v>510</v>
      </c>
      <c r="D33" s="3" t="s">
        <v>516</v>
      </c>
      <c r="E33" s="3" t="s">
        <v>517</v>
      </c>
      <c r="F33" s="3" t="s">
        <v>518</v>
      </c>
      <c r="G33" s="3" t="s">
        <v>63</v>
      </c>
      <c r="H33" s="3" t="s">
        <v>520</v>
      </c>
      <c r="I33" s="3" t="s">
        <v>643</v>
      </c>
      <c r="J33" s="3" t="s">
        <v>519</v>
      </c>
      <c r="K33" s="3" t="s">
        <v>63</v>
      </c>
    </row>
    <row r="34" spans="1:12" ht="85.5" x14ac:dyDescent="0.45">
      <c r="A34" s="20" t="str">
        <f t="shared" si="0"/>
        <v>TC90</v>
      </c>
      <c r="B34" s="28" t="s">
        <v>31</v>
      </c>
      <c r="C34" s="24" t="s">
        <v>510</v>
      </c>
      <c r="D34" s="3" t="s">
        <v>521</v>
      </c>
      <c r="E34" s="3" t="s">
        <v>517</v>
      </c>
      <c r="F34" s="3" t="s">
        <v>522</v>
      </c>
      <c r="G34" s="3" t="s">
        <v>63</v>
      </c>
      <c r="H34" s="3" t="s">
        <v>523</v>
      </c>
      <c r="I34" s="3" t="s">
        <v>643</v>
      </c>
      <c r="J34" s="3" t="s">
        <v>524</v>
      </c>
      <c r="K34" s="3" t="s">
        <v>63</v>
      </c>
    </row>
    <row r="35" spans="1:12" ht="71.25" x14ac:dyDescent="0.45">
      <c r="A35" s="20" t="str">
        <f t="shared" si="0"/>
        <v>TC91</v>
      </c>
      <c r="B35" s="28" t="s">
        <v>31</v>
      </c>
      <c r="C35" s="24" t="s">
        <v>510</v>
      </c>
      <c r="D35" s="3" t="s">
        <v>525</v>
      </c>
      <c r="E35" s="3" t="s">
        <v>526</v>
      </c>
      <c r="F35" s="3" t="s">
        <v>527</v>
      </c>
      <c r="G35" s="3" t="s">
        <v>63</v>
      </c>
      <c r="H35" s="3" t="s">
        <v>528</v>
      </c>
      <c r="I35" s="3" t="s">
        <v>643</v>
      </c>
      <c r="J35" s="3" t="s">
        <v>529</v>
      </c>
      <c r="K35" s="3" t="s">
        <v>63</v>
      </c>
    </row>
    <row r="36" spans="1:12" ht="71.25" x14ac:dyDescent="0.45">
      <c r="A36" s="20" t="str">
        <f t="shared" si="0"/>
        <v>TC92</v>
      </c>
      <c r="B36" s="28" t="s">
        <v>31</v>
      </c>
      <c r="C36" s="24" t="s">
        <v>510</v>
      </c>
      <c r="D36" s="3" t="s">
        <v>530</v>
      </c>
      <c r="E36" s="3" t="s">
        <v>531</v>
      </c>
      <c r="F36" s="3" t="s">
        <v>532</v>
      </c>
      <c r="G36" s="3" t="s">
        <v>63</v>
      </c>
      <c r="H36" s="3" t="s">
        <v>533</v>
      </c>
      <c r="I36" s="3" t="s">
        <v>643</v>
      </c>
      <c r="J36" s="3" t="s">
        <v>534</v>
      </c>
      <c r="K36" s="3" t="s">
        <v>63</v>
      </c>
    </row>
    <row r="37" spans="1:12" ht="142.5" x14ac:dyDescent="0.45">
      <c r="A37" s="20" t="str">
        <f t="shared" si="0"/>
        <v>TC93</v>
      </c>
      <c r="B37" s="28" t="s">
        <v>31</v>
      </c>
      <c r="C37" s="24" t="s">
        <v>510</v>
      </c>
      <c r="D37" s="3" t="s">
        <v>535</v>
      </c>
      <c r="E37" s="3" t="s">
        <v>536</v>
      </c>
      <c r="F37" s="3" t="s">
        <v>537</v>
      </c>
      <c r="G37" s="3" t="s">
        <v>63</v>
      </c>
      <c r="H37" s="3" t="s">
        <v>538</v>
      </c>
      <c r="I37" s="3" t="s">
        <v>642</v>
      </c>
      <c r="J37" s="3" t="s">
        <v>539</v>
      </c>
      <c r="K37" s="3" t="s">
        <v>640</v>
      </c>
    </row>
    <row r="38" spans="1:12" ht="128.25" x14ac:dyDescent="0.45">
      <c r="A38" s="20" t="str">
        <f t="shared" si="0"/>
        <v>TC94</v>
      </c>
      <c r="B38" s="28" t="s">
        <v>31</v>
      </c>
      <c r="C38" s="24" t="s">
        <v>510</v>
      </c>
      <c r="D38" s="3" t="s">
        <v>540</v>
      </c>
      <c r="E38" s="3" t="s">
        <v>541</v>
      </c>
      <c r="F38" s="3" t="s">
        <v>542</v>
      </c>
      <c r="G38" s="3" t="s">
        <v>63</v>
      </c>
      <c r="H38" s="3" t="s">
        <v>543</v>
      </c>
      <c r="I38" s="3" t="s">
        <v>643</v>
      </c>
      <c r="J38" s="3" t="s">
        <v>544</v>
      </c>
      <c r="K38" s="3" t="s">
        <v>63</v>
      </c>
    </row>
    <row r="39" spans="1:12" x14ac:dyDescent="0.45">
      <c r="A39" s="3"/>
      <c r="B39"/>
      <c r="C39"/>
      <c r="D39"/>
      <c r="E39"/>
      <c r="F39"/>
      <c r="G39"/>
      <c r="H39"/>
      <c r="J39"/>
      <c r="K39"/>
      <c r="L39"/>
    </row>
    <row r="40" spans="1:12" x14ac:dyDescent="0.45">
      <c r="A40" s="3"/>
      <c r="B40"/>
      <c r="C40"/>
      <c r="D40"/>
      <c r="E40"/>
      <c r="F40"/>
      <c r="G40"/>
      <c r="H40"/>
      <c r="J40"/>
      <c r="K40"/>
      <c r="L40"/>
    </row>
    <row r="41" spans="1:12" x14ac:dyDescent="0.45">
      <c r="A41" s="3"/>
      <c r="B41"/>
      <c r="C41"/>
      <c r="D41">
        <f>COUNTIF(I:I,"Passed")</f>
        <v>32</v>
      </c>
      <c r="E41" s="3" t="s">
        <v>644</v>
      </c>
      <c r="F41"/>
      <c r="G41"/>
      <c r="H41"/>
      <c r="J41"/>
      <c r="K41"/>
      <c r="L41"/>
    </row>
    <row r="42" spans="1:12" x14ac:dyDescent="0.45">
      <c r="A42" s="3"/>
      <c r="B42"/>
      <c r="C42"/>
      <c r="D42">
        <f>COUNTIF(I:I,"Failed")</f>
        <v>4</v>
      </c>
      <c r="E42" s="3" t="s">
        <v>645</v>
      </c>
      <c r="F42"/>
      <c r="G42"/>
      <c r="H42"/>
      <c r="J42"/>
      <c r="K42"/>
      <c r="L42"/>
    </row>
    <row r="43" spans="1:12" x14ac:dyDescent="0.45">
      <c r="A43" s="3"/>
      <c r="B43"/>
      <c r="C43"/>
      <c r="D43"/>
      <c r="E43"/>
      <c r="F43"/>
      <c r="G43"/>
      <c r="H43"/>
      <c r="J43"/>
      <c r="K43"/>
      <c r="L43"/>
    </row>
    <row r="44" spans="1:12" x14ac:dyDescent="0.45">
      <c r="A44" s="3"/>
      <c r="B44"/>
      <c r="C44"/>
      <c r="D44"/>
      <c r="E44"/>
      <c r="F44"/>
      <c r="G44"/>
      <c r="H44"/>
      <c r="J44"/>
      <c r="K44"/>
      <c r="L44"/>
    </row>
    <row r="45" spans="1:12" x14ac:dyDescent="0.45">
      <c r="A45" s="3"/>
      <c r="B45"/>
      <c r="C45"/>
      <c r="D45"/>
      <c r="E45"/>
      <c r="F45"/>
      <c r="G45"/>
      <c r="H45"/>
      <c r="J45"/>
      <c r="K45"/>
      <c r="L45"/>
    </row>
    <row r="46" spans="1:12" x14ac:dyDescent="0.45">
      <c r="A46" s="3"/>
      <c r="B46"/>
      <c r="C46"/>
      <c r="D46"/>
      <c r="E46"/>
      <c r="F46"/>
      <c r="G46"/>
      <c r="H46"/>
      <c r="J46"/>
      <c r="K46"/>
      <c r="L46"/>
    </row>
    <row r="47" spans="1:12" x14ac:dyDescent="0.45">
      <c r="A47" s="3"/>
      <c r="B47"/>
      <c r="C47"/>
      <c r="D47"/>
      <c r="E47"/>
      <c r="F47"/>
      <c r="G47"/>
      <c r="H47"/>
      <c r="J47"/>
      <c r="K47"/>
      <c r="L47"/>
    </row>
    <row r="48" spans="1:12" x14ac:dyDescent="0.45">
      <c r="A48" s="3"/>
      <c r="B48"/>
      <c r="C48"/>
      <c r="D48"/>
      <c r="E48"/>
      <c r="F48"/>
      <c r="G48"/>
      <c r="H48"/>
      <c r="J48"/>
      <c r="K48"/>
      <c r="L48"/>
    </row>
    <row r="49" spans="1:12" x14ac:dyDescent="0.45">
      <c r="A49" s="3"/>
      <c r="B49"/>
      <c r="C49"/>
      <c r="D49"/>
      <c r="E49"/>
      <c r="F49"/>
      <c r="G49"/>
      <c r="H49"/>
      <c r="J49"/>
      <c r="K49"/>
      <c r="L49"/>
    </row>
    <row r="50" spans="1:12" x14ac:dyDescent="0.45">
      <c r="A50" s="3"/>
      <c r="B50"/>
      <c r="C50"/>
      <c r="D50"/>
      <c r="E50"/>
      <c r="F50"/>
      <c r="G50"/>
      <c r="H50"/>
      <c r="J50"/>
      <c r="K50"/>
      <c r="L50"/>
    </row>
    <row r="51" spans="1:12" x14ac:dyDescent="0.45">
      <c r="A51" s="3"/>
      <c r="B51"/>
      <c r="C51"/>
      <c r="D51"/>
      <c r="E51"/>
      <c r="F51"/>
      <c r="G51"/>
      <c r="H51"/>
      <c r="J51"/>
      <c r="K51"/>
      <c r="L51"/>
    </row>
    <row r="52" spans="1:12" x14ac:dyDescent="0.45">
      <c r="A52" s="3"/>
      <c r="B52"/>
      <c r="C52"/>
      <c r="D52"/>
      <c r="E52"/>
      <c r="F52"/>
      <c r="G52"/>
      <c r="H52"/>
      <c r="J52"/>
      <c r="K52"/>
      <c r="L52"/>
    </row>
    <row r="53" spans="1:12" x14ac:dyDescent="0.45">
      <c r="A53" s="3"/>
      <c r="B53"/>
      <c r="C53"/>
      <c r="D53"/>
      <c r="E53"/>
      <c r="F53"/>
      <c r="G53"/>
      <c r="H53"/>
      <c r="J53"/>
      <c r="K53"/>
      <c r="L53"/>
    </row>
    <row r="54" spans="1:12" x14ac:dyDescent="0.45">
      <c r="A54" s="3"/>
      <c r="B54"/>
      <c r="C54"/>
      <c r="D54"/>
      <c r="E54"/>
      <c r="F54"/>
      <c r="G54"/>
      <c r="H54"/>
      <c r="J54"/>
      <c r="K54"/>
      <c r="L54"/>
    </row>
    <row r="55" spans="1:12" x14ac:dyDescent="0.45">
      <c r="A55" s="3"/>
      <c r="B55"/>
      <c r="C55"/>
      <c r="D55"/>
      <c r="E55"/>
      <c r="F55"/>
      <c r="G55"/>
      <c r="H55"/>
      <c r="J55"/>
      <c r="K55"/>
      <c r="L55"/>
    </row>
    <row r="56" spans="1:12" x14ac:dyDescent="0.45">
      <c r="A56" s="3"/>
      <c r="B56"/>
      <c r="C56"/>
      <c r="D56"/>
      <c r="E56"/>
      <c r="F56"/>
      <c r="G56"/>
      <c r="H56"/>
      <c r="J56"/>
      <c r="K56"/>
      <c r="L56"/>
    </row>
    <row r="57" spans="1:12" x14ac:dyDescent="0.45">
      <c r="A57" s="3"/>
      <c r="B57"/>
      <c r="C57"/>
      <c r="D57"/>
      <c r="E57"/>
      <c r="F57"/>
      <c r="G57"/>
      <c r="H57"/>
      <c r="J57"/>
      <c r="K57"/>
      <c r="L57"/>
    </row>
    <row r="58" spans="1:12" x14ac:dyDescent="0.45">
      <c r="A58" s="3"/>
      <c r="B58"/>
      <c r="C58"/>
      <c r="D58"/>
      <c r="E58"/>
      <c r="F58"/>
      <c r="G58"/>
      <c r="H58"/>
      <c r="J58"/>
      <c r="K58"/>
      <c r="L58"/>
    </row>
    <row r="59" spans="1:12" x14ac:dyDescent="0.45">
      <c r="A59" s="3"/>
      <c r="B59"/>
      <c r="C59"/>
      <c r="D59"/>
      <c r="E59"/>
      <c r="F59"/>
      <c r="G59"/>
      <c r="H59"/>
      <c r="J59"/>
      <c r="K59"/>
      <c r="L59"/>
    </row>
    <row r="60" spans="1:12" x14ac:dyDescent="0.45">
      <c r="A60" s="3"/>
      <c r="B60"/>
      <c r="C60"/>
      <c r="D60"/>
      <c r="E60"/>
      <c r="F60"/>
      <c r="G60"/>
      <c r="H60"/>
      <c r="J60"/>
      <c r="K60"/>
      <c r="L60"/>
    </row>
    <row r="61" spans="1:12" x14ac:dyDescent="0.45">
      <c r="A61" s="3"/>
      <c r="B61"/>
      <c r="C61"/>
      <c r="D61"/>
      <c r="E61"/>
      <c r="F61"/>
      <c r="G61"/>
      <c r="H61"/>
      <c r="J61"/>
      <c r="K61"/>
      <c r="L61"/>
    </row>
    <row r="62" spans="1:12" x14ac:dyDescent="0.45">
      <c r="A62" s="3"/>
      <c r="B62"/>
      <c r="C62"/>
      <c r="D62"/>
      <c r="E62"/>
      <c r="F62"/>
      <c r="G62"/>
      <c r="H62"/>
      <c r="J62"/>
      <c r="K62"/>
      <c r="L62"/>
    </row>
    <row r="63" spans="1:12" x14ac:dyDescent="0.45">
      <c r="A63" s="3"/>
      <c r="B63"/>
      <c r="C63"/>
      <c r="D63"/>
      <c r="E63"/>
      <c r="F63"/>
      <c r="G63"/>
      <c r="H63"/>
      <c r="J63"/>
      <c r="K63"/>
      <c r="L63"/>
    </row>
    <row r="64" spans="1:12" x14ac:dyDescent="0.45">
      <c r="A64" s="3"/>
      <c r="B64"/>
      <c r="C64"/>
      <c r="D64"/>
      <c r="E64"/>
      <c r="F64"/>
      <c r="G64"/>
      <c r="H64"/>
      <c r="J64"/>
      <c r="K64"/>
      <c r="L64"/>
    </row>
    <row r="65" spans="1:12" x14ac:dyDescent="0.45">
      <c r="A65" s="3"/>
      <c r="B65"/>
      <c r="C65"/>
      <c r="D65"/>
      <c r="E65"/>
      <c r="F65"/>
      <c r="G65"/>
      <c r="H65"/>
      <c r="J65"/>
      <c r="K65"/>
      <c r="L65"/>
    </row>
    <row r="66" spans="1:12" x14ac:dyDescent="0.45">
      <c r="A66" s="3"/>
      <c r="B66"/>
      <c r="C66"/>
      <c r="D66"/>
      <c r="E66"/>
      <c r="F66"/>
      <c r="G66"/>
      <c r="H66"/>
      <c r="J66"/>
      <c r="K66"/>
      <c r="L66"/>
    </row>
    <row r="67" spans="1:12" x14ac:dyDescent="0.45">
      <c r="A67" s="3"/>
      <c r="B67"/>
      <c r="C67"/>
      <c r="D67"/>
      <c r="E67"/>
      <c r="F67"/>
      <c r="G67"/>
      <c r="H67"/>
      <c r="J67"/>
      <c r="K67"/>
      <c r="L67"/>
    </row>
    <row r="68" spans="1:12" x14ac:dyDescent="0.45">
      <c r="A68" s="3"/>
      <c r="B68"/>
      <c r="C68"/>
      <c r="D68"/>
      <c r="E68"/>
      <c r="F68"/>
      <c r="G68"/>
      <c r="H68"/>
      <c r="J68"/>
      <c r="K68"/>
      <c r="L68"/>
    </row>
    <row r="69" spans="1:12" x14ac:dyDescent="0.45">
      <c r="A69" s="3"/>
      <c r="B69"/>
      <c r="C69"/>
      <c r="D69"/>
      <c r="E69"/>
      <c r="F69"/>
      <c r="G69"/>
      <c r="H69"/>
      <c r="J69"/>
      <c r="K69"/>
      <c r="L69"/>
    </row>
    <row r="70" spans="1:12" x14ac:dyDescent="0.45">
      <c r="A70" s="3"/>
      <c r="B70"/>
      <c r="C70"/>
      <c r="D70"/>
      <c r="E70"/>
      <c r="F70"/>
      <c r="G70"/>
      <c r="H70"/>
      <c r="J70"/>
      <c r="K70"/>
      <c r="L70"/>
    </row>
    <row r="71" spans="1:12" x14ac:dyDescent="0.45">
      <c r="A71" s="3"/>
      <c r="B71"/>
      <c r="C71"/>
      <c r="D71"/>
      <c r="E71"/>
      <c r="F71"/>
      <c r="G71"/>
      <c r="H71"/>
      <c r="J71"/>
      <c r="K71"/>
      <c r="L71"/>
    </row>
    <row r="72" spans="1:12" x14ac:dyDescent="0.45">
      <c r="A72" s="3"/>
      <c r="B72"/>
      <c r="C72"/>
      <c r="D72"/>
      <c r="E72"/>
      <c r="F72"/>
      <c r="G72"/>
      <c r="H72"/>
      <c r="J72"/>
      <c r="K72"/>
      <c r="L72"/>
    </row>
    <row r="73" spans="1:12" x14ac:dyDescent="0.45">
      <c r="A73" s="3"/>
      <c r="B73"/>
      <c r="C73"/>
      <c r="D73"/>
      <c r="E73"/>
      <c r="F73"/>
      <c r="G73"/>
      <c r="H73"/>
      <c r="J73"/>
      <c r="K73"/>
      <c r="L73"/>
    </row>
    <row r="74" spans="1:12" x14ac:dyDescent="0.45">
      <c r="A74" s="3"/>
      <c r="B74"/>
      <c r="C74"/>
      <c r="D74"/>
      <c r="E74"/>
      <c r="F74"/>
      <c r="G74"/>
      <c r="H74"/>
      <c r="J74"/>
      <c r="K74"/>
      <c r="L74"/>
    </row>
    <row r="75" spans="1:12" x14ac:dyDescent="0.45">
      <c r="A75" s="3"/>
      <c r="B75"/>
      <c r="C75"/>
      <c r="D75"/>
      <c r="E75"/>
      <c r="F75"/>
      <c r="G75"/>
      <c r="H75"/>
      <c r="J75"/>
      <c r="K75"/>
      <c r="L75"/>
    </row>
    <row r="76" spans="1:12" x14ac:dyDescent="0.45">
      <c r="A76" s="3"/>
      <c r="B76"/>
      <c r="C76"/>
      <c r="D76"/>
      <c r="E76"/>
      <c r="F76"/>
      <c r="G76"/>
      <c r="H76"/>
      <c r="J76"/>
      <c r="K76"/>
      <c r="L76"/>
    </row>
    <row r="77" spans="1:12" x14ac:dyDescent="0.45">
      <c r="A77" s="3"/>
      <c r="B77"/>
      <c r="C77"/>
      <c r="D77"/>
      <c r="E77"/>
      <c r="F77"/>
      <c r="G77"/>
      <c r="H77"/>
      <c r="J77"/>
      <c r="K77"/>
      <c r="L77"/>
    </row>
    <row r="78" spans="1:12" x14ac:dyDescent="0.45">
      <c r="A78" s="3"/>
      <c r="B78"/>
      <c r="C78"/>
      <c r="D78"/>
      <c r="E78"/>
      <c r="F78"/>
      <c r="G78"/>
      <c r="H78"/>
      <c r="J78"/>
      <c r="K78"/>
      <c r="L78"/>
    </row>
    <row r="79" spans="1:12" x14ac:dyDescent="0.45">
      <c r="A79" s="3"/>
      <c r="B79"/>
      <c r="C79"/>
      <c r="D79"/>
      <c r="E79"/>
      <c r="F79"/>
      <c r="G79"/>
      <c r="H79"/>
      <c r="J79"/>
      <c r="K79"/>
      <c r="L79"/>
    </row>
    <row r="80" spans="1:12" x14ac:dyDescent="0.45">
      <c r="A80" s="3"/>
      <c r="B80"/>
      <c r="C80"/>
      <c r="D80"/>
      <c r="E80"/>
      <c r="F80"/>
      <c r="G80"/>
      <c r="H80"/>
      <c r="J80"/>
      <c r="K80"/>
      <c r="L80"/>
    </row>
    <row r="81" spans="1:12" x14ac:dyDescent="0.45">
      <c r="A81" s="3"/>
      <c r="B81"/>
      <c r="C81"/>
      <c r="D81"/>
      <c r="E81"/>
      <c r="F81"/>
      <c r="G81"/>
      <c r="H81"/>
      <c r="J81"/>
      <c r="K81"/>
      <c r="L81"/>
    </row>
    <row r="82" spans="1:12" x14ac:dyDescent="0.45">
      <c r="A82" s="3"/>
      <c r="B82"/>
      <c r="C82"/>
      <c r="D82"/>
      <c r="E82"/>
      <c r="F82"/>
      <c r="G82"/>
      <c r="H82"/>
      <c r="J82"/>
      <c r="K82"/>
      <c r="L82"/>
    </row>
    <row r="83" spans="1:12" x14ac:dyDescent="0.45">
      <c r="A83" s="3"/>
      <c r="B83"/>
      <c r="C83"/>
      <c r="D83"/>
      <c r="E83"/>
      <c r="F83"/>
      <c r="G83"/>
      <c r="H83"/>
      <c r="J83"/>
      <c r="K83"/>
      <c r="L83"/>
    </row>
    <row r="84" spans="1:12" x14ac:dyDescent="0.45">
      <c r="A84" s="3"/>
      <c r="B84"/>
      <c r="C84"/>
      <c r="D84"/>
      <c r="E84"/>
      <c r="F84"/>
      <c r="G84"/>
      <c r="H84"/>
      <c r="J84"/>
      <c r="K84"/>
      <c r="L84"/>
    </row>
    <row r="85" spans="1:12" x14ac:dyDescent="0.45">
      <c r="A85" s="3"/>
      <c r="B85"/>
      <c r="C85"/>
      <c r="D85"/>
      <c r="E85"/>
      <c r="F85"/>
      <c r="G85"/>
      <c r="H85"/>
      <c r="J85"/>
      <c r="K85"/>
      <c r="L85"/>
    </row>
    <row r="86" spans="1:12" x14ac:dyDescent="0.45">
      <c r="A86" s="3"/>
      <c r="B86"/>
      <c r="C86"/>
      <c r="D86"/>
      <c r="E86"/>
      <c r="F86"/>
      <c r="G86"/>
      <c r="H86"/>
      <c r="J86"/>
      <c r="K86"/>
      <c r="L86"/>
    </row>
    <row r="87" spans="1:12" x14ac:dyDescent="0.45">
      <c r="A87" s="20"/>
      <c r="C87" s="25"/>
    </row>
    <row r="88" spans="1:12" x14ac:dyDescent="0.45">
      <c r="A88" s="20"/>
      <c r="C88" s="25"/>
    </row>
    <row r="89" spans="1:12" x14ac:dyDescent="0.45">
      <c r="A89" s="20"/>
      <c r="C89" s="25"/>
    </row>
    <row r="90" spans="1:12" x14ac:dyDescent="0.45">
      <c r="A90" s="20"/>
      <c r="C90" s="25"/>
    </row>
    <row r="91" spans="1:12" x14ac:dyDescent="0.45">
      <c r="A91" s="20"/>
      <c r="C91" s="25"/>
    </row>
    <row r="92" spans="1:12" x14ac:dyDescent="0.45">
      <c r="A92" s="20"/>
      <c r="C92" s="25"/>
    </row>
    <row r="93" spans="1:12" x14ac:dyDescent="0.45">
      <c r="A93" s="20"/>
      <c r="C93" s="25"/>
    </row>
    <row r="94" spans="1:12" x14ac:dyDescent="0.45">
      <c r="A94" s="20"/>
      <c r="C94" s="25"/>
    </row>
    <row r="95" spans="1:12" x14ac:dyDescent="0.45">
      <c r="A95" s="20"/>
      <c r="C95" s="25"/>
    </row>
    <row r="96" spans="1:12" x14ac:dyDescent="0.45">
      <c r="A96" s="20"/>
      <c r="C96" s="25"/>
    </row>
    <row r="97" spans="1:3" x14ac:dyDescent="0.45">
      <c r="A97" s="20"/>
      <c r="C97" s="25"/>
    </row>
    <row r="98" spans="1:3" x14ac:dyDescent="0.45">
      <c r="A98" s="20"/>
      <c r="C98" s="25"/>
    </row>
    <row r="99" spans="1:3" x14ac:dyDescent="0.45">
      <c r="A99" s="20"/>
      <c r="C99" s="25"/>
    </row>
    <row r="100" spans="1:3" x14ac:dyDescent="0.45">
      <c r="A100" s="20"/>
      <c r="C100" s="25"/>
    </row>
    <row r="101" spans="1:3" x14ac:dyDescent="0.45">
      <c r="A101" s="20"/>
      <c r="C101" s="25"/>
    </row>
    <row r="102" spans="1:3" x14ac:dyDescent="0.45">
      <c r="A102" s="20"/>
      <c r="C102" s="25"/>
    </row>
    <row r="103" spans="1:3" x14ac:dyDescent="0.45">
      <c r="A103" s="20"/>
      <c r="C103" s="25"/>
    </row>
    <row r="104" spans="1:3" x14ac:dyDescent="0.45">
      <c r="A104" s="20"/>
      <c r="C104" s="25"/>
    </row>
    <row r="105" spans="1:3" x14ac:dyDescent="0.45">
      <c r="A105" s="20"/>
      <c r="C105" s="25"/>
    </row>
    <row r="106" spans="1:3" x14ac:dyDescent="0.45">
      <c r="A106" s="20"/>
      <c r="C106" s="25"/>
    </row>
    <row r="107" spans="1:3" x14ac:dyDescent="0.45">
      <c r="A107" s="20"/>
      <c r="C107" s="25"/>
    </row>
    <row r="108" spans="1:3" x14ac:dyDescent="0.45">
      <c r="A108" s="20"/>
      <c r="C108" s="25"/>
    </row>
    <row r="109" spans="1:3" x14ac:dyDescent="0.45">
      <c r="A109" s="20"/>
      <c r="C109" s="25"/>
    </row>
    <row r="110" spans="1:3" x14ac:dyDescent="0.45">
      <c r="A110" s="20"/>
      <c r="C110" s="25"/>
    </row>
    <row r="111" spans="1:3" x14ac:dyDescent="0.45">
      <c r="A111" s="20"/>
      <c r="C111" s="25"/>
    </row>
    <row r="112" spans="1:3" x14ac:dyDescent="0.45">
      <c r="A112" s="20"/>
      <c r="C112" s="25"/>
    </row>
    <row r="113" spans="1:3" x14ac:dyDescent="0.45">
      <c r="A113" s="20"/>
      <c r="C113" s="25"/>
    </row>
    <row r="114" spans="1:3" x14ac:dyDescent="0.45">
      <c r="A114" s="20"/>
      <c r="C114" s="25"/>
    </row>
    <row r="115" spans="1:3" x14ac:dyDescent="0.45">
      <c r="A115" s="20"/>
      <c r="C115" s="25"/>
    </row>
    <row r="116" spans="1:3" x14ac:dyDescent="0.45">
      <c r="A116" s="20"/>
      <c r="C116" s="25"/>
    </row>
    <row r="117" spans="1:3" x14ac:dyDescent="0.45">
      <c r="A117" s="20"/>
      <c r="C117" s="25"/>
    </row>
    <row r="118" spans="1:3" x14ac:dyDescent="0.45">
      <c r="A118" s="20"/>
      <c r="C118" s="25"/>
    </row>
    <row r="119" spans="1:3" x14ac:dyDescent="0.45">
      <c r="A119" s="20"/>
      <c r="C119" s="25"/>
    </row>
    <row r="120" spans="1:3" x14ac:dyDescent="0.45">
      <c r="A120" s="20"/>
      <c r="C120" s="25"/>
    </row>
    <row r="121" spans="1:3" x14ac:dyDescent="0.45">
      <c r="A121" s="20"/>
      <c r="C121" s="25"/>
    </row>
    <row r="122" spans="1:3" x14ac:dyDescent="0.45">
      <c r="A122" s="20"/>
      <c r="C122" s="25"/>
    </row>
    <row r="123" spans="1:3" x14ac:dyDescent="0.45">
      <c r="A123" s="20"/>
      <c r="C123" s="25"/>
    </row>
    <row r="124" spans="1:3" x14ac:dyDescent="0.45">
      <c r="A124" s="20"/>
      <c r="C124" s="25"/>
    </row>
    <row r="125" spans="1:3" x14ac:dyDescent="0.45">
      <c r="A125" s="20"/>
      <c r="C125" s="25"/>
    </row>
    <row r="126" spans="1:3" x14ac:dyDescent="0.45">
      <c r="A126" s="20"/>
      <c r="C126" s="25"/>
    </row>
    <row r="127" spans="1:3" x14ac:dyDescent="0.45">
      <c r="A127" s="20"/>
      <c r="C127" s="25"/>
    </row>
    <row r="128" spans="1:3" x14ac:dyDescent="0.45">
      <c r="A128" s="21"/>
      <c r="C128" s="25"/>
    </row>
    <row r="129" spans="1:3" x14ac:dyDescent="0.45">
      <c r="A129" s="21"/>
      <c r="C129" s="25"/>
    </row>
    <row r="130" spans="1:3" x14ac:dyDescent="0.45">
      <c r="A130" s="21"/>
      <c r="C130" s="25"/>
    </row>
    <row r="131" spans="1:3" x14ac:dyDescent="0.45">
      <c r="A131" s="21"/>
      <c r="C131" s="25"/>
    </row>
    <row r="132" spans="1:3" x14ac:dyDescent="0.45">
      <c r="A132" s="21"/>
      <c r="C132" s="25"/>
    </row>
    <row r="133" spans="1:3" x14ac:dyDescent="0.45">
      <c r="A133" s="21"/>
      <c r="C133" s="25"/>
    </row>
    <row r="134" spans="1:3" x14ac:dyDescent="0.45">
      <c r="A134" s="21"/>
      <c r="C134" s="25"/>
    </row>
    <row r="135" spans="1:3" x14ac:dyDescent="0.45">
      <c r="A135" s="21"/>
      <c r="C135" s="25"/>
    </row>
    <row r="136" spans="1:3" x14ac:dyDescent="0.45">
      <c r="A136" s="21"/>
      <c r="C136" s="25"/>
    </row>
    <row r="137" spans="1:3" x14ac:dyDescent="0.45">
      <c r="A137" s="21"/>
      <c r="C137" s="25"/>
    </row>
    <row r="138" spans="1:3" x14ac:dyDescent="0.45">
      <c r="A138" s="21"/>
      <c r="C138" s="25"/>
    </row>
    <row r="139" spans="1:3" x14ac:dyDescent="0.45">
      <c r="A139" s="21"/>
      <c r="C139" s="25"/>
    </row>
    <row r="140" spans="1:3" x14ac:dyDescent="0.45">
      <c r="A140" s="21"/>
      <c r="C140" s="25"/>
    </row>
    <row r="141" spans="1:3" x14ac:dyDescent="0.45">
      <c r="A141" s="21"/>
      <c r="C141" s="25"/>
    </row>
    <row r="142" spans="1:3" x14ac:dyDescent="0.45">
      <c r="A142" s="21"/>
      <c r="C142" s="25"/>
    </row>
    <row r="143" spans="1:3" x14ac:dyDescent="0.45">
      <c r="A143" s="21"/>
      <c r="C143" s="25"/>
    </row>
    <row r="144" spans="1:3" x14ac:dyDescent="0.45">
      <c r="A144" s="21"/>
      <c r="C144" s="25"/>
    </row>
    <row r="145" spans="1:3" x14ac:dyDescent="0.45">
      <c r="A145" s="21"/>
      <c r="C145" s="25"/>
    </row>
    <row r="146" spans="1:3" x14ac:dyDescent="0.45">
      <c r="A146" s="21"/>
      <c r="C146" s="25"/>
    </row>
    <row r="147" spans="1:3" x14ac:dyDescent="0.45">
      <c r="A147" s="21"/>
      <c r="C147" s="25"/>
    </row>
    <row r="148" spans="1:3" x14ac:dyDescent="0.45">
      <c r="A148" s="21"/>
      <c r="C148" s="25"/>
    </row>
    <row r="149" spans="1:3" x14ac:dyDescent="0.45">
      <c r="A149" s="21"/>
      <c r="C149" s="25"/>
    </row>
    <row r="150" spans="1:3" x14ac:dyDescent="0.45">
      <c r="A150" s="21"/>
      <c r="C150" s="25"/>
    </row>
    <row r="151" spans="1:3" x14ac:dyDescent="0.45">
      <c r="A151" s="21"/>
      <c r="C151" s="25"/>
    </row>
    <row r="152" spans="1:3" x14ac:dyDescent="0.45">
      <c r="A152" s="21"/>
      <c r="C152" s="25"/>
    </row>
    <row r="153" spans="1:3" x14ac:dyDescent="0.45">
      <c r="A153" s="21"/>
      <c r="C153" s="25"/>
    </row>
    <row r="154" spans="1:3" x14ac:dyDescent="0.45">
      <c r="A154" s="21"/>
      <c r="C154" s="25"/>
    </row>
    <row r="155" spans="1:3" x14ac:dyDescent="0.45">
      <c r="A155" s="21"/>
      <c r="C155" s="25"/>
    </row>
    <row r="156" spans="1:3" x14ac:dyDescent="0.45">
      <c r="A156" s="21"/>
      <c r="C156" s="25"/>
    </row>
    <row r="157" spans="1:3" x14ac:dyDescent="0.45">
      <c r="A157" s="21"/>
      <c r="C157" s="25"/>
    </row>
    <row r="158" spans="1:3" x14ac:dyDescent="0.45">
      <c r="A158" s="21"/>
      <c r="C158" s="25"/>
    </row>
    <row r="159" spans="1:3" x14ac:dyDescent="0.45">
      <c r="A159" s="21"/>
      <c r="C159" s="25"/>
    </row>
    <row r="160" spans="1:3" x14ac:dyDescent="0.45">
      <c r="A160" s="21"/>
      <c r="C160" s="25"/>
    </row>
    <row r="161" spans="1:3" x14ac:dyDescent="0.45">
      <c r="A161" s="21"/>
      <c r="C161" s="25"/>
    </row>
    <row r="162" spans="1:3" x14ac:dyDescent="0.45">
      <c r="A162" s="21"/>
      <c r="C162" s="25"/>
    </row>
    <row r="163" spans="1:3" x14ac:dyDescent="0.45">
      <c r="A163" s="21"/>
      <c r="C163" s="25"/>
    </row>
    <row r="164" spans="1:3" x14ac:dyDescent="0.45">
      <c r="A164" s="21"/>
      <c r="C164" s="25"/>
    </row>
    <row r="165" spans="1:3" x14ac:dyDescent="0.45">
      <c r="A165" s="21"/>
      <c r="C165" s="25"/>
    </row>
    <row r="166" spans="1:3" x14ac:dyDescent="0.45">
      <c r="A166" s="21"/>
      <c r="C166" s="25"/>
    </row>
    <row r="167" spans="1:3" x14ac:dyDescent="0.45">
      <c r="A167" s="21"/>
      <c r="C167" s="25"/>
    </row>
    <row r="168" spans="1:3" x14ac:dyDescent="0.45">
      <c r="A168" s="21"/>
      <c r="C168" s="25"/>
    </row>
    <row r="169" spans="1:3" x14ac:dyDescent="0.45">
      <c r="A169" s="21"/>
      <c r="C169" s="25"/>
    </row>
    <row r="170" spans="1:3" x14ac:dyDescent="0.45">
      <c r="A170" s="21"/>
      <c r="C170" s="25"/>
    </row>
    <row r="171" spans="1:3" x14ac:dyDescent="0.45">
      <c r="A171" s="21"/>
      <c r="C171" s="25"/>
    </row>
    <row r="172" spans="1:3" x14ac:dyDescent="0.45">
      <c r="A172" s="21"/>
      <c r="C172" s="25"/>
    </row>
    <row r="173" spans="1:3" x14ac:dyDescent="0.45">
      <c r="A173" s="21"/>
      <c r="C173" s="25"/>
    </row>
    <row r="174" spans="1:3" x14ac:dyDescent="0.45">
      <c r="A174" s="21"/>
      <c r="C174" s="25"/>
    </row>
    <row r="175" spans="1:3" x14ac:dyDescent="0.45">
      <c r="A175" s="21"/>
      <c r="C175" s="25"/>
    </row>
    <row r="176" spans="1:3" x14ac:dyDescent="0.45">
      <c r="A176" s="21"/>
      <c r="C176" s="25"/>
    </row>
    <row r="177" spans="1:3" x14ac:dyDescent="0.45">
      <c r="A177" s="21"/>
      <c r="C177" s="25"/>
    </row>
    <row r="178" spans="1:3" x14ac:dyDescent="0.45">
      <c r="A178" s="21"/>
      <c r="C178" s="25"/>
    </row>
    <row r="179" spans="1:3" x14ac:dyDescent="0.45">
      <c r="A179" s="21"/>
      <c r="C179" s="25"/>
    </row>
    <row r="180" spans="1:3" x14ac:dyDescent="0.45">
      <c r="A180" s="21"/>
      <c r="C180" s="25"/>
    </row>
    <row r="181" spans="1:3" x14ac:dyDescent="0.45">
      <c r="A181" s="21"/>
      <c r="C181" s="25"/>
    </row>
    <row r="182" spans="1:3" x14ac:dyDescent="0.45">
      <c r="A182" s="21"/>
      <c r="C182" s="25"/>
    </row>
    <row r="183" spans="1:3" x14ac:dyDescent="0.45">
      <c r="A183" s="21"/>
      <c r="C183" s="25"/>
    </row>
    <row r="184" spans="1:3" x14ac:dyDescent="0.45">
      <c r="A184" s="21"/>
      <c r="C184" s="25"/>
    </row>
    <row r="185" spans="1:3" x14ac:dyDescent="0.45">
      <c r="A185" s="21"/>
      <c r="C185" s="25"/>
    </row>
    <row r="186" spans="1:3" x14ac:dyDescent="0.45">
      <c r="A186" s="21"/>
      <c r="C186" s="25"/>
    </row>
    <row r="187" spans="1:3" x14ac:dyDescent="0.45">
      <c r="A187" s="21"/>
      <c r="C187" s="25"/>
    </row>
    <row r="188" spans="1:3" x14ac:dyDescent="0.45">
      <c r="A188" s="21"/>
      <c r="C188" s="25"/>
    </row>
    <row r="189" spans="1:3" x14ac:dyDescent="0.45">
      <c r="A189" s="21"/>
      <c r="C189" s="25"/>
    </row>
    <row r="190" spans="1:3" x14ac:dyDescent="0.45">
      <c r="A190" s="21"/>
      <c r="C190" s="25"/>
    </row>
    <row r="191" spans="1:3" x14ac:dyDescent="0.45">
      <c r="A191" s="21"/>
      <c r="C191" s="25"/>
    </row>
    <row r="192" spans="1:3" x14ac:dyDescent="0.45">
      <c r="A192" s="21"/>
      <c r="C192" s="25"/>
    </row>
    <row r="193" spans="1:3" x14ac:dyDescent="0.45">
      <c r="A193" s="21"/>
      <c r="C193" s="25"/>
    </row>
    <row r="194" spans="1:3" x14ac:dyDescent="0.45">
      <c r="A194" s="21"/>
      <c r="C194" s="25"/>
    </row>
    <row r="195" spans="1:3" x14ac:dyDescent="0.45">
      <c r="A195" s="21"/>
      <c r="C195" s="25"/>
    </row>
    <row r="196" spans="1:3" x14ac:dyDescent="0.45">
      <c r="A196" s="21"/>
      <c r="C196" s="25"/>
    </row>
    <row r="197" spans="1:3" x14ac:dyDescent="0.45">
      <c r="A197" s="21"/>
      <c r="C197" s="25"/>
    </row>
    <row r="198" spans="1:3" x14ac:dyDescent="0.45">
      <c r="A198" s="21"/>
      <c r="C198" s="25"/>
    </row>
    <row r="199" spans="1:3" x14ac:dyDescent="0.45">
      <c r="A199" s="21"/>
      <c r="C199" s="25"/>
    </row>
    <row r="200" spans="1:3" x14ac:dyDescent="0.45">
      <c r="A200" s="21"/>
      <c r="C200" s="25"/>
    </row>
    <row r="201" spans="1:3" x14ac:dyDescent="0.45">
      <c r="A201" s="21"/>
      <c r="C201" s="25"/>
    </row>
    <row r="202" spans="1:3" x14ac:dyDescent="0.45">
      <c r="A202" s="21"/>
      <c r="C202" s="25"/>
    </row>
    <row r="203" spans="1:3" x14ac:dyDescent="0.45">
      <c r="A203" s="21"/>
      <c r="C203" s="25"/>
    </row>
    <row r="204" spans="1:3" x14ac:dyDescent="0.45">
      <c r="A204" s="21"/>
      <c r="C204" s="25"/>
    </row>
    <row r="205" spans="1:3" x14ac:dyDescent="0.45">
      <c r="A205" s="21"/>
      <c r="C205" s="25"/>
    </row>
    <row r="206" spans="1:3" x14ac:dyDescent="0.45">
      <c r="A206" s="21"/>
      <c r="C206" s="25"/>
    </row>
    <row r="207" spans="1:3" x14ac:dyDescent="0.45">
      <c r="A207" s="21"/>
      <c r="C207" s="25"/>
    </row>
    <row r="208" spans="1:3" x14ac:dyDescent="0.45">
      <c r="A208" s="21"/>
      <c r="C208" s="25"/>
    </row>
    <row r="209" spans="1:3" x14ac:dyDescent="0.45">
      <c r="A209" s="21"/>
      <c r="C209" s="25"/>
    </row>
    <row r="210" spans="1:3" x14ac:dyDescent="0.45">
      <c r="A210" s="21"/>
      <c r="C210" s="25"/>
    </row>
    <row r="211" spans="1:3" x14ac:dyDescent="0.45">
      <c r="A211" s="21"/>
      <c r="C211" s="25"/>
    </row>
    <row r="212" spans="1:3" x14ac:dyDescent="0.45">
      <c r="A212" s="21"/>
      <c r="C212" s="25"/>
    </row>
    <row r="213" spans="1:3" x14ac:dyDescent="0.45">
      <c r="A213" s="21"/>
      <c r="C213" s="25"/>
    </row>
    <row r="214" spans="1:3" x14ac:dyDescent="0.45">
      <c r="A214" s="21"/>
      <c r="C214" s="25"/>
    </row>
    <row r="215" spans="1:3" x14ac:dyDescent="0.45">
      <c r="A215" s="21"/>
      <c r="C215" s="25"/>
    </row>
    <row r="216" spans="1:3" x14ac:dyDescent="0.45">
      <c r="A216" s="21"/>
      <c r="C216" s="25"/>
    </row>
    <row r="217" spans="1:3" x14ac:dyDescent="0.45">
      <c r="A217" s="21"/>
      <c r="C217" s="25"/>
    </row>
    <row r="218" spans="1:3" x14ac:dyDescent="0.45">
      <c r="A218" s="21"/>
      <c r="C218" s="25"/>
    </row>
    <row r="219" spans="1:3" x14ac:dyDescent="0.45">
      <c r="A219" s="21"/>
      <c r="C219" s="25"/>
    </row>
    <row r="220" spans="1:3" x14ac:dyDescent="0.45">
      <c r="A220" s="21"/>
      <c r="C220" s="25"/>
    </row>
    <row r="221" spans="1:3" x14ac:dyDescent="0.45">
      <c r="A221" s="21"/>
      <c r="C221" s="25"/>
    </row>
    <row r="222" spans="1:3" x14ac:dyDescent="0.45">
      <c r="A222" s="21"/>
      <c r="C222" s="25"/>
    </row>
    <row r="223" spans="1:3" x14ac:dyDescent="0.45">
      <c r="A223" s="21"/>
      <c r="C223" s="25"/>
    </row>
    <row r="224" spans="1:3" x14ac:dyDescent="0.45">
      <c r="A224" s="21"/>
      <c r="C224" s="25"/>
    </row>
    <row r="225" spans="1:3" x14ac:dyDescent="0.45">
      <c r="A225" s="21"/>
      <c r="C225" s="25"/>
    </row>
    <row r="226" spans="1:3" x14ac:dyDescent="0.45">
      <c r="A226" s="21"/>
      <c r="C226" s="25"/>
    </row>
    <row r="227" spans="1:3" x14ac:dyDescent="0.45">
      <c r="A227" s="21"/>
      <c r="C227" s="25"/>
    </row>
    <row r="228" spans="1:3" x14ac:dyDescent="0.45">
      <c r="A228" s="21"/>
      <c r="C228" s="25"/>
    </row>
    <row r="229" spans="1:3" x14ac:dyDescent="0.45">
      <c r="A229" s="21"/>
      <c r="C229" s="25"/>
    </row>
    <row r="230" spans="1:3" x14ac:dyDescent="0.45">
      <c r="A230" s="21"/>
      <c r="C230" s="25"/>
    </row>
    <row r="231" spans="1:3" x14ac:dyDescent="0.45">
      <c r="A231" s="21"/>
      <c r="C231" s="25"/>
    </row>
    <row r="232" spans="1:3" x14ac:dyDescent="0.45">
      <c r="A232" s="21"/>
      <c r="C232" s="25"/>
    </row>
    <row r="233" spans="1:3" x14ac:dyDescent="0.45">
      <c r="A233" s="21"/>
      <c r="C233" s="25"/>
    </row>
    <row r="234" spans="1:3" x14ac:dyDescent="0.45">
      <c r="A234" s="21"/>
      <c r="C234" s="25"/>
    </row>
    <row r="235" spans="1:3" x14ac:dyDescent="0.45">
      <c r="A235" s="21"/>
      <c r="C235" s="25"/>
    </row>
    <row r="236" spans="1:3" x14ac:dyDescent="0.45">
      <c r="A236" s="21"/>
      <c r="C236" s="25"/>
    </row>
    <row r="237" spans="1:3" x14ac:dyDescent="0.45">
      <c r="A237" s="21"/>
      <c r="C237" s="25"/>
    </row>
    <row r="238" spans="1:3" x14ac:dyDescent="0.45">
      <c r="A238" s="21"/>
      <c r="C238" s="25"/>
    </row>
    <row r="239" spans="1:3" x14ac:dyDescent="0.45">
      <c r="A239" s="21"/>
      <c r="C239" s="25"/>
    </row>
    <row r="240" spans="1:3" x14ac:dyDescent="0.45">
      <c r="A240" s="21"/>
      <c r="C240" s="25"/>
    </row>
    <row r="241" spans="1:3" x14ac:dyDescent="0.45">
      <c r="A241" s="21"/>
      <c r="C241" s="25"/>
    </row>
    <row r="242" spans="1:3" x14ac:dyDescent="0.45">
      <c r="A242" s="21"/>
      <c r="C242" s="25"/>
    </row>
    <row r="243" spans="1:3" x14ac:dyDescent="0.45">
      <c r="A243" s="21"/>
      <c r="C243" s="25"/>
    </row>
    <row r="244" spans="1:3" x14ac:dyDescent="0.45">
      <c r="A244" s="21"/>
      <c r="C244" s="25"/>
    </row>
    <row r="245" spans="1:3" x14ac:dyDescent="0.45">
      <c r="A245" s="21"/>
      <c r="C245" s="25"/>
    </row>
    <row r="246" spans="1:3" x14ac:dyDescent="0.45">
      <c r="A246" s="21"/>
      <c r="C246" s="25"/>
    </row>
    <row r="247" spans="1:3" x14ac:dyDescent="0.45">
      <c r="A247" s="21"/>
      <c r="C247" s="25"/>
    </row>
    <row r="248" spans="1:3" x14ac:dyDescent="0.45">
      <c r="A248" s="21"/>
      <c r="C248" s="25"/>
    </row>
    <row r="249" spans="1:3" x14ac:dyDescent="0.45">
      <c r="A249" s="21"/>
      <c r="C249" s="25"/>
    </row>
    <row r="250" spans="1:3" x14ac:dyDescent="0.45">
      <c r="A250" s="21"/>
      <c r="C250" s="25"/>
    </row>
    <row r="251" spans="1:3" x14ac:dyDescent="0.45">
      <c r="A251" s="21"/>
      <c r="C251" s="25"/>
    </row>
    <row r="252" spans="1:3" x14ac:dyDescent="0.45">
      <c r="A252" s="21"/>
      <c r="C252" s="25"/>
    </row>
    <row r="253" spans="1:3" x14ac:dyDescent="0.45">
      <c r="A253" s="21"/>
      <c r="C253" s="25"/>
    </row>
    <row r="254" spans="1:3" x14ac:dyDescent="0.45">
      <c r="A254" s="21"/>
      <c r="C254" s="25"/>
    </row>
    <row r="255" spans="1:3" x14ac:dyDescent="0.45">
      <c r="A255" s="21"/>
      <c r="C255" s="25"/>
    </row>
    <row r="256" spans="1:3" x14ac:dyDescent="0.45">
      <c r="A256" s="21"/>
      <c r="C256" s="25"/>
    </row>
    <row r="257" spans="1:3" x14ac:dyDescent="0.45">
      <c r="A257" s="21"/>
      <c r="C257" s="25"/>
    </row>
    <row r="258" spans="1:3" x14ac:dyDescent="0.45">
      <c r="A258" s="21"/>
      <c r="C258" s="25"/>
    </row>
    <row r="259" spans="1:3" x14ac:dyDescent="0.45">
      <c r="A259" s="21"/>
      <c r="C259" s="25"/>
    </row>
    <row r="260" spans="1:3" x14ac:dyDescent="0.45">
      <c r="A260" s="21"/>
      <c r="C260" s="25"/>
    </row>
    <row r="261" spans="1:3" x14ac:dyDescent="0.45">
      <c r="A261" s="21"/>
      <c r="C261" s="25"/>
    </row>
    <row r="262" spans="1:3" x14ac:dyDescent="0.45">
      <c r="A262" s="21"/>
      <c r="C262" s="25"/>
    </row>
    <row r="263" spans="1:3" x14ac:dyDescent="0.45">
      <c r="A263" s="21"/>
      <c r="C263" s="25"/>
    </row>
    <row r="264" spans="1:3" x14ac:dyDescent="0.45">
      <c r="A264" s="21"/>
      <c r="C264" s="25"/>
    </row>
    <row r="265" spans="1:3" x14ac:dyDescent="0.45">
      <c r="A265" s="21"/>
      <c r="C265" s="25"/>
    </row>
    <row r="266" spans="1:3" x14ac:dyDescent="0.45">
      <c r="A266" s="21"/>
      <c r="C266" s="25"/>
    </row>
    <row r="267" spans="1:3" x14ac:dyDescent="0.45">
      <c r="A267" s="21"/>
      <c r="C267" s="25"/>
    </row>
    <row r="268" spans="1:3" x14ac:dyDescent="0.45">
      <c r="A268" s="21"/>
      <c r="C268" s="25"/>
    </row>
    <row r="269" spans="1:3" x14ac:dyDescent="0.45">
      <c r="A269" s="21"/>
      <c r="C269" s="25"/>
    </row>
    <row r="270" spans="1:3" x14ac:dyDescent="0.45">
      <c r="A270" s="21"/>
      <c r="C270" s="25"/>
    </row>
    <row r="271" spans="1:3" x14ac:dyDescent="0.45">
      <c r="A271" s="21"/>
      <c r="C271" s="25"/>
    </row>
    <row r="272" spans="1:3" x14ac:dyDescent="0.45">
      <c r="A272" s="21"/>
      <c r="C272" s="25"/>
    </row>
    <row r="273" spans="1:3" x14ac:dyDescent="0.45">
      <c r="A273" s="21"/>
      <c r="C273" s="25"/>
    </row>
    <row r="274" spans="1:3" x14ac:dyDescent="0.45">
      <c r="A274" s="21"/>
      <c r="C274" s="25"/>
    </row>
    <row r="275" spans="1:3" x14ac:dyDescent="0.45">
      <c r="A275" s="21"/>
      <c r="C275" s="25"/>
    </row>
    <row r="276" spans="1:3" x14ac:dyDescent="0.45">
      <c r="A276" s="21"/>
      <c r="C276" s="25"/>
    </row>
    <row r="277" spans="1:3" x14ac:dyDescent="0.45">
      <c r="A277" s="21"/>
      <c r="C277" s="25"/>
    </row>
    <row r="278" spans="1:3" x14ac:dyDescent="0.45">
      <c r="A278" s="21"/>
      <c r="C278" s="25"/>
    </row>
    <row r="279" spans="1:3" x14ac:dyDescent="0.45">
      <c r="A279" s="21"/>
      <c r="C279" s="25"/>
    </row>
    <row r="280" spans="1:3" x14ac:dyDescent="0.45">
      <c r="A280" s="21"/>
      <c r="C280" s="25"/>
    </row>
    <row r="281" spans="1:3" x14ac:dyDescent="0.45">
      <c r="A281" s="21"/>
      <c r="C281" s="25"/>
    </row>
    <row r="282" spans="1:3" x14ac:dyDescent="0.45">
      <c r="A282" s="21"/>
      <c r="C282" s="25"/>
    </row>
    <row r="283" spans="1:3" x14ac:dyDescent="0.45">
      <c r="A283" s="21"/>
      <c r="C283" s="25"/>
    </row>
    <row r="284" spans="1:3" x14ac:dyDescent="0.45">
      <c r="A284" s="21"/>
      <c r="C284" s="25"/>
    </row>
    <row r="285" spans="1:3" x14ac:dyDescent="0.45">
      <c r="A285" s="21"/>
      <c r="C285" s="25"/>
    </row>
    <row r="286" spans="1:3" x14ac:dyDescent="0.45">
      <c r="A286" s="21"/>
      <c r="C286" s="25"/>
    </row>
    <row r="287" spans="1:3" x14ac:dyDescent="0.45">
      <c r="A287" s="21"/>
      <c r="C287" s="25"/>
    </row>
    <row r="288" spans="1:3" x14ac:dyDescent="0.45">
      <c r="A288" s="21"/>
      <c r="C288" s="25"/>
    </row>
    <row r="289" spans="1:3" x14ac:dyDescent="0.45">
      <c r="A289" s="21"/>
      <c r="C289" s="25"/>
    </row>
    <row r="290" spans="1:3" x14ac:dyDescent="0.45">
      <c r="A290" s="21"/>
      <c r="C290" s="25"/>
    </row>
    <row r="291" spans="1:3" x14ac:dyDescent="0.45">
      <c r="A291" s="21"/>
      <c r="C291" s="25"/>
    </row>
    <row r="292" spans="1:3" x14ac:dyDescent="0.45">
      <c r="A292" s="21"/>
      <c r="C292" s="25"/>
    </row>
    <row r="293" spans="1:3" x14ac:dyDescent="0.45">
      <c r="A293" s="21"/>
      <c r="C293" s="25"/>
    </row>
    <row r="294" spans="1:3" x14ac:dyDescent="0.45">
      <c r="A294" s="21"/>
      <c r="C294" s="25"/>
    </row>
    <row r="295" spans="1:3" x14ac:dyDescent="0.45">
      <c r="A295" s="21"/>
      <c r="C295" s="25"/>
    </row>
    <row r="296" spans="1:3" x14ac:dyDescent="0.45">
      <c r="A296" s="21"/>
      <c r="C296" s="25"/>
    </row>
    <row r="297" spans="1:3" x14ac:dyDescent="0.45">
      <c r="A297" s="21"/>
      <c r="C297" s="25"/>
    </row>
    <row r="298" spans="1:3" x14ac:dyDescent="0.45">
      <c r="A298" s="21"/>
      <c r="C298" s="25"/>
    </row>
    <row r="299" spans="1:3" x14ac:dyDescent="0.45">
      <c r="A299" s="21"/>
      <c r="C299" s="25"/>
    </row>
    <row r="300" spans="1:3" x14ac:dyDescent="0.45">
      <c r="A300" s="21"/>
      <c r="C300" s="25"/>
    </row>
    <row r="301" spans="1:3" x14ac:dyDescent="0.45">
      <c r="A301" s="21"/>
      <c r="C301" s="25"/>
    </row>
    <row r="302" spans="1:3" x14ac:dyDescent="0.45">
      <c r="A302" s="21"/>
      <c r="C302" s="25"/>
    </row>
    <row r="303" spans="1:3" x14ac:dyDescent="0.45">
      <c r="A303" s="21"/>
      <c r="C303" s="25"/>
    </row>
    <row r="304" spans="1:3" x14ac:dyDescent="0.45">
      <c r="A304" s="21"/>
      <c r="C304" s="25"/>
    </row>
    <row r="305" spans="1:3" x14ac:dyDescent="0.45">
      <c r="A305" s="21"/>
      <c r="C305" s="25"/>
    </row>
    <row r="306" spans="1:3" x14ac:dyDescent="0.45">
      <c r="A306" s="21"/>
      <c r="C306" s="25"/>
    </row>
    <row r="307" spans="1:3" x14ac:dyDescent="0.45">
      <c r="A307" s="21"/>
      <c r="C307" s="25"/>
    </row>
    <row r="308" spans="1:3" x14ac:dyDescent="0.45">
      <c r="A308" s="21"/>
      <c r="C308" s="25"/>
    </row>
    <row r="309" spans="1:3" x14ac:dyDescent="0.45">
      <c r="A309" s="21"/>
      <c r="C309" s="25"/>
    </row>
    <row r="310" spans="1:3" x14ac:dyDescent="0.45">
      <c r="A310" s="21"/>
      <c r="C310" s="25"/>
    </row>
    <row r="311" spans="1:3" x14ac:dyDescent="0.45">
      <c r="A311" s="21"/>
      <c r="C311" s="25"/>
    </row>
    <row r="312" spans="1:3" x14ac:dyDescent="0.45">
      <c r="A312" s="21"/>
      <c r="C312" s="25"/>
    </row>
    <row r="313" spans="1:3" x14ac:dyDescent="0.45">
      <c r="A313" s="21"/>
      <c r="C313" s="25"/>
    </row>
    <row r="314" spans="1:3" x14ac:dyDescent="0.45">
      <c r="A314" s="21"/>
      <c r="C314" s="25"/>
    </row>
    <row r="315" spans="1:3" x14ac:dyDescent="0.45">
      <c r="A315" s="21"/>
      <c r="C315" s="25"/>
    </row>
    <row r="316" spans="1:3" x14ac:dyDescent="0.45">
      <c r="A316" s="21"/>
      <c r="C316" s="25"/>
    </row>
    <row r="317" spans="1:3" x14ac:dyDescent="0.45">
      <c r="A317" s="21"/>
      <c r="C317" s="25"/>
    </row>
    <row r="318" spans="1:3" x14ac:dyDescent="0.45">
      <c r="A318" s="21"/>
      <c r="C318" s="25"/>
    </row>
    <row r="319" spans="1:3" x14ac:dyDescent="0.45">
      <c r="A319" s="21"/>
      <c r="C319" s="25"/>
    </row>
    <row r="320" spans="1:3" x14ac:dyDescent="0.45">
      <c r="A320" s="21"/>
      <c r="C320" s="25"/>
    </row>
    <row r="321" spans="1:3" x14ac:dyDescent="0.45">
      <c r="A321" s="21"/>
      <c r="C321" s="25"/>
    </row>
    <row r="322" spans="1:3" x14ac:dyDescent="0.45">
      <c r="A322" s="21"/>
      <c r="C322" s="25"/>
    </row>
    <row r="323" spans="1:3" x14ac:dyDescent="0.45">
      <c r="A323" s="21"/>
      <c r="C323" s="25"/>
    </row>
    <row r="324" spans="1:3" x14ac:dyDescent="0.45">
      <c r="A324" s="21"/>
      <c r="C324" s="25"/>
    </row>
    <row r="325" spans="1:3" x14ac:dyDescent="0.45">
      <c r="A325" s="21"/>
      <c r="C325" s="25"/>
    </row>
    <row r="326" spans="1:3" x14ac:dyDescent="0.45">
      <c r="A326" s="21"/>
      <c r="C326" s="25"/>
    </row>
    <row r="327" spans="1:3" x14ac:dyDescent="0.45">
      <c r="A327" s="21"/>
      <c r="C327" s="25"/>
    </row>
    <row r="328" spans="1:3" x14ac:dyDescent="0.45">
      <c r="A328" s="21"/>
      <c r="C328" s="25"/>
    </row>
    <row r="329" spans="1:3" x14ac:dyDescent="0.45">
      <c r="A329" s="21"/>
      <c r="C329" s="25"/>
    </row>
    <row r="330" spans="1:3" x14ac:dyDescent="0.45">
      <c r="A330" s="21"/>
      <c r="C330" s="25"/>
    </row>
    <row r="331" spans="1:3" x14ac:dyDescent="0.45">
      <c r="A331" s="21"/>
      <c r="C331" s="25"/>
    </row>
    <row r="332" spans="1:3" x14ac:dyDescent="0.45">
      <c r="A332" s="21"/>
      <c r="C332" s="25"/>
    </row>
    <row r="333" spans="1:3" x14ac:dyDescent="0.45">
      <c r="A333" s="21"/>
      <c r="C333" s="25"/>
    </row>
    <row r="334" spans="1:3" x14ac:dyDescent="0.45">
      <c r="A334" s="21"/>
      <c r="C334" s="25"/>
    </row>
    <row r="335" spans="1:3" x14ac:dyDescent="0.45">
      <c r="A335" s="21"/>
      <c r="C335" s="25"/>
    </row>
    <row r="336" spans="1:3" x14ac:dyDescent="0.45">
      <c r="A336" s="21"/>
      <c r="C336" s="25"/>
    </row>
    <row r="337" spans="1:3" x14ac:dyDescent="0.45">
      <c r="A337" s="21"/>
      <c r="C337" s="25"/>
    </row>
    <row r="338" spans="1:3" x14ac:dyDescent="0.45">
      <c r="A338" s="21"/>
      <c r="C338" s="25"/>
    </row>
    <row r="339" spans="1:3" x14ac:dyDescent="0.45">
      <c r="A339" s="21"/>
      <c r="C339" s="25"/>
    </row>
    <row r="340" spans="1:3" x14ac:dyDescent="0.45">
      <c r="A340" s="21"/>
      <c r="C340" s="25"/>
    </row>
    <row r="341" spans="1:3" x14ac:dyDescent="0.45">
      <c r="A341" s="21"/>
      <c r="C341" s="25"/>
    </row>
    <row r="342" spans="1:3" x14ac:dyDescent="0.45">
      <c r="A342" s="21"/>
      <c r="C342" s="25"/>
    </row>
    <row r="343" spans="1:3" x14ac:dyDescent="0.45">
      <c r="A343" s="21"/>
      <c r="C343" s="25"/>
    </row>
    <row r="344" spans="1:3" x14ac:dyDescent="0.45">
      <c r="A344" s="21"/>
      <c r="C344" s="25"/>
    </row>
    <row r="345" spans="1:3" x14ac:dyDescent="0.45">
      <c r="A345" s="21"/>
      <c r="C345" s="25"/>
    </row>
    <row r="346" spans="1:3" x14ac:dyDescent="0.45">
      <c r="A346" s="21"/>
      <c r="C346" s="25"/>
    </row>
    <row r="347" spans="1:3" x14ac:dyDescent="0.45">
      <c r="A347" s="21"/>
      <c r="C347" s="25"/>
    </row>
    <row r="348" spans="1:3" x14ac:dyDescent="0.45">
      <c r="A348" s="21"/>
      <c r="C348" s="25"/>
    </row>
    <row r="349" spans="1:3" x14ac:dyDescent="0.45">
      <c r="A349" s="21"/>
      <c r="C349" s="25"/>
    </row>
    <row r="350" spans="1:3" x14ac:dyDescent="0.45">
      <c r="A350" s="21"/>
      <c r="C350" s="25"/>
    </row>
    <row r="351" spans="1:3" x14ac:dyDescent="0.45">
      <c r="A351" s="21"/>
      <c r="C351" s="25"/>
    </row>
    <row r="352" spans="1:3" x14ac:dyDescent="0.45">
      <c r="A352" s="21"/>
      <c r="C352" s="25"/>
    </row>
    <row r="353" spans="1:3" x14ac:dyDescent="0.45">
      <c r="A353" s="21"/>
      <c r="C353" s="25"/>
    </row>
    <row r="354" spans="1:3" x14ac:dyDescent="0.45">
      <c r="A354" s="21"/>
      <c r="C354" s="25"/>
    </row>
    <row r="355" spans="1:3" x14ac:dyDescent="0.45">
      <c r="A355" s="21"/>
      <c r="C355" s="25"/>
    </row>
    <row r="356" spans="1:3" x14ac:dyDescent="0.45">
      <c r="A356" s="21"/>
      <c r="C356" s="25"/>
    </row>
    <row r="357" spans="1:3" x14ac:dyDescent="0.45">
      <c r="A357" s="21"/>
      <c r="C357" s="25"/>
    </row>
    <row r="358" spans="1:3" x14ac:dyDescent="0.45">
      <c r="A358" s="21"/>
      <c r="C358" s="25"/>
    </row>
    <row r="359" spans="1:3" x14ac:dyDescent="0.45">
      <c r="A359" s="21"/>
      <c r="C359" s="25"/>
    </row>
    <row r="360" spans="1:3" x14ac:dyDescent="0.45">
      <c r="A360" s="21"/>
      <c r="C360" s="25"/>
    </row>
    <row r="361" spans="1:3" x14ac:dyDescent="0.45">
      <c r="A361" s="21"/>
      <c r="C361" s="25"/>
    </row>
    <row r="362" spans="1:3" x14ac:dyDescent="0.45">
      <c r="A362" s="21"/>
      <c r="C362" s="25"/>
    </row>
    <row r="363" spans="1:3" x14ac:dyDescent="0.45">
      <c r="A363" s="21"/>
      <c r="C363" s="25"/>
    </row>
    <row r="364" spans="1:3" x14ac:dyDescent="0.45">
      <c r="A364" s="21"/>
      <c r="C364" s="25"/>
    </row>
    <row r="365" spans="1:3" x14ac:dyDescent="0.45">
      <c r="A365" s="21"/>
      <c r="C365" s="25"/>
    </row>
    <row r="366" spans="1:3" x14ac:dyDescent="0.45">
      <c r="A366" s="21"/>
      <c r="C366" s="25"/>
    </row>
    <row r="367" spans="1:3" x14ac:dyDescent="0.45">
      <c r="A367" s="21"/>
      <c r="C367" s="25"/>
    </row>
    <row r="368" spans="1:3" x14ac:dyDescent="0.45">
      <c r="A368" s="21"/>
      <c r="C368" s="25"/>
    </row>
    <row r="369" spans="1:3" x14ac:dyDescent="0.45">
      <c r="A369" s="21"/>
      <c r="C369" s="25"/>
    </row>
    <row r="370" spans="1:3" x14ac:dyDescent="0.45">
      <c r="A370" s="21"/>
      <c r="C370" s="25"/>
    </row>
    <row r="371" spans="1:3" x14ac:dyDescent="0.45">
      <c r="A371" s="21"/>
      <c r="C371" s="25"/>
    </row>
    <row r="372" spans="1:3" x14ac:dyDescent="0.45">
      <c r="A372" s="21"/>
      <c r="C372" s="25"/>
    </row>
    <row r="373" spans="1:3" x14ac:dyDescent="0.45">
      <c r="A373" s="21"/>
      <c r="C373" s="25"/>
    </row>
    <row r="374" spans="1:3" x14ac:dyDescent="0.45">
      <c r="A374" s="21"/>
      <c r="C374" s="25"/>
    </row>
    <row r="375" spans="1:3" x14ac:dyDescent="0.45">
      <c r="A375" s="21"/>
      <c r="C375" s="25"/>
    </row>
    <row r="376" spans="1:3" x14ac:dyDescent="0.45">
      <c r="A376" s="21"/>
      <c r="C376" s="25"/>
    </row>
    <row r="377" spans="1:3" x14ac:dyDescent="0.45">
      <c r="A377" s="21"/>
      <c r="C377" s="25"/>
    </row>
    <row r="378" spans="1:3" x14ac:dyDescent="0.45">
      <c r="A378" s="21"/>
      <c r="C378" s="25"/>
    </row>
    <row r="379" spans="1:3" x14ac:dyDescent="0.45">
      <c r="A379" s="21"/>
      <c r="C379" s="25"/>
    </row>
    <row r="380" spans="1:3" x14ac:dyDescent="0.45">
      <c r="A380" s="21"/>
      <c r="C380" s="25"/>
    </row>
    <row r="381" spans="1:3" x14ac:dyDescent="0.45">
      <c r="A381" s="21"/>
      <c r="C381" s="25"/>
    </row>
    <row r="382" spans="1:3" x14ac:dyDescent="0.45">
      <c r="A382" s="21"/>
      <c r="C382" s="25"/>
    </row>
    <row r="383" spans="1:3" x14ac:dyDescent="0.45">
      <c r="A383" s="21"/>
      <c r="C383" s="25"/>
    </row>
    <row r="384" spans="1:3" x14ac:dyDescent="0.45">
      <c r="A384" s="21"/>
      <c r="C384" s="25"/>
    </row>
    <row r="385" spans="1:3" x14ac:dyDescent="0.45">
      <c r="A385" s="21"/>
      <c r="C385" s="25"/>
    </row>
    <row r="386" spans="1:3" x14ac:dyDescent="0.45">
      <c r="A386" s="21"/>
      <c r="C386" s="25"/>
    </row>
    <row r="387" spans="1:3" x14ac:dyDescent="0.45">
      <c r="A387" s="21"/>
      <c r="C387" s="25"/>
    </row>
    <row r="388" spans="1:3" x14ac:dyDescent="0.45">
      <c r="A388" s="21"/>
      <c r="C388" s="25"/>
    </row>
    <row r="389" spans="1:3" x14ac:dyDescent="0.45">
      <c r="A389" s="21"/>
      <c r="C389" s="25"/>
    </row>
    <row r="390" spans="1:3" x14ac:dyDescent="0.45">
      <c r="A390" s="21"/>
      <c r="C390" s="25"/>
    </row>
    <row r="391" spans="1:3" x14ac:dyDescent="0.45">
      <c r="A391" s="21"/>
      <c r="C391" s="25"/>
    </row>
    <row r="392" spans="1:3" x14ac:dyDescent="0.45">
      <c r="A392" s="21"/>
      <c r="C392" s="25"/>
    </row>
    <row r="393" spans="1:3" x14ac:dyDescent="0.45">
      <c r="A393" s="21"/>
      <c r="C393" s="25"/>
    </row>
    <row r="394" spans="1:3" x14ac:dyDescent="0.45">
      <c r="A394" s="21"/>
      <c r="C394" s="25"/>
    </row>
    <row r="395" spans="1:3" x14ac:dyDescent="0.45">
      <c r="A395" s="21"/>
      <c r="C395" s="25"/>
    </row>
    <row r="396" spans="1:3" x14ac:dyDescent="0.45">
      <c r="A396" s="21"/>
      <c r="C396" s="25"/>
    </row>
    <row r="397" spans="1:3" x14ac:dyDescent="0.45">
      <c r="A397" s="21"/>
      <c r="C397" s="25"/>
    </row>
    <row r="398" spans="1:3" x14ac:dyDescent="0.45">
      <c r="A398" s="21"/>
      <c r="C398" s="25"/>
    </row>
    <row r="399" spans="1:3" x14ac:dyDescent="0.45">
      <c r="A399" s="21"/>
      <c r="C399" s="25"/>
    </row>
    <row r="400" spans="1:3" x14ac:dyDescent="0.45">
      <c r="A400" s="21"/>
      <c r="C400" s="25"/>
    </row>
    <row r="401" spans="1:3" x14ac:dyDescent="0.45">
      <c r="A401" s="21"/>
      <c r="C401" s="25"/>
    </row>
    <row r="402" spans="1:3" x14ac:dyDescent="0.45">
      <c r="A402" s="21"/>
      <c r="C402" s="25"/>
    </row>
    <row r="403" spans="1:3" x14ac:dyDescent="0.45">
      <c r="A403" s="21"/>
      <c r="C403" s="25"/>
    </row>
    <row r="404" spans="1:3" x14ac:dyDescent="0.45">
      <c r="A404" s="21"/>
      <c r="C404" s="25"/>
    </row>
    <row r="405" spans="1:3" x14ac:dyDescent="0.45">
      <c r="A405" s="21"/>
      <c r="C405" s="25"/>
    </row>
    <row r="406" spans="1:3" x14ac:dyDescent="0.45">
      <c r="A406" s="21"/>
      <c r="C406" s="25"/>
    </row>
    <row r="407" spans="1:3" x14ac:dyDescent="0.45">
      <c r="A407" s="21"/>
      <c r="C407" s="25"/>
    </row>
    <row r="408" spans="1:3" x14ac:dyDescent="0.45">
      <c r="A408" s="21"/>
      <c r="C408" s="25"/>
    </row>
    <row r="409" spans="1:3" x14ac:dyDescent="0.45">
      <c r="A409" s="21"/>
      <c r="C409" s="25"/>
    </row>
    <row r="410" spans="1:3" x14ac:dyDescent="0.45">
      <c r="A410" s="21"/>
      <c r="C410" s="25"/>
    </row>
    <row r="411" spans="1:3" x14ac:dyDescent="0.45">
      <c r="A411" s="21"/>
      <c r="C411" s="25"/>
    </row>
    <row r="412" spans="1:3" x14ac:dyDescent="0.45">
      <c r="A412" s="21"/>
      <c r="C412" s="25"/>
    </row>
    <row r="413" spans="1:3" x14ac:dyDescent="0.45">
      <c r="A413" s="21"/>
      <c r="C413" s="25"/>
    </row>
    <row r="414" spans="1:3" x14ac:dyDescent="0.45">
      <c r="A414" s="21"/>
      <c r="C414" s="25"/>
    </row>
    <row r="415" spans="1:3" x14ac:dyDescent="0.45">
      <c r="A415" s="21"/>
      <c r="C415" s="25"/>
    </row>
    <row r="416" spans="1:3" x14ac:dyDescent="0.45">
      <c r="A416" s="21"/>
      <c r="C416" s="25"/>
    </row>
    <row r="417" spans="1:3" x14ac:dyDescent="0.45">
      <c r="A417" s="21"/>
      <c r="C417" s="25"/>
    </row>
    <row r="418" spans="1:3" x14ac:dyDescent="0.45">
      <c r="A418" s="21"/>
      <c r="C418" s="25"/>
    </row>
    <row r="419" spans="1:3" x14ac:dyDescent="0.45">
      <c r="A419" s="21"/>
      <c r="C419" s="25"/>
    </row>
    <row r="420" spans="1:3" x14ac:dyDescent="0.45">
      <c r="A420" s="21"/>
      <c r="C420" s="25"/>
    </row>
    <row r="421" spans="1:3" x14ac:dyDescent="0.45">
      <c r="A421" s="21"/>
      <c r="C421" s="25"/>
    </row>
    <row r="422" spans="1:3" x14ac:dyDescent="0.45">
      <c r="A422" s="21"/>
      <c r="C422" s="25"/>
    </row>
    <row r="423" spans="1:3" x14ac:dyDescent="0.45">
      <c r="A423" s="21"/>
      <c r="C423" s="25"/>
    </row>
    <row r="424" spans="1:3" x14ac:dyDescent="0.45">
      <c r="A424" s="21"/>
      <c r="C424" s="25"/>
    </row>
    <row r="425" spans="1:3" x14ac:dyDescent="0.45">
      <c r="A425" s="21"/>
      <c r="C425" s="25"/>
    </row>
    <row r="426" spans="1:3" x14ac:dyDescent="0.45">
      <c r="A426" s="21"/>
      <c r="C426" s="25"/>
    </row>
    <row r="427" spans="1:3" x14ac:dyDescent="0.45">
      <c r="A427" s="21"/>
      <c r="C427" s="25"/>
    </row>
    <row r="428" spans="1:3" x14ac:dyDescent="0.45">
      <c r="A428" s="21"/>
      <c r="C428" s="25"/>
    </row>
    <row r="429" spans="1:3" x14ac:dyDescent="0.45">
      <c r="A429" s="21"/>
      <c r="C429" s="25"/>
    </row>
    <row r="430" spans="1:3" x14ac:dyDescent="0.45">
      <c r="A430" s="21"/>
      <c r="C430" s="25"/>
    </row>
    <row r="431" spans="1:3" x14ac:dyDescent="0.45">
      <c r="A431" s="21"/>
      <c r="C431" s="25"/>
    </row>
    <row r="432" spans="1:3" x14ac:dyDescent="0.45">
      <c r="A432" s="21"/>
      <c r="C432" s="25"/>
    </row>
    <row r="433" spans="1:3" x14ac:dyDescent="0.45">
      <c r="A433" s="21"/>
      <c r="C433" s="25"/>
    </row>
    <row r="434" spans="1:3" x14ac:dyDescent="0.45">
      <c r="A434" s="21"/>
      <c r="C434" s="25"/>
    </row>
    <row r="435" spans="1:3" x14ac:dyDescent="0.45">
      <c r="A435" s="21"/>
      <c r="C435" s="25"/>
    </row>
    <row r="436" spans="1:3" x14ac:dyDescent="0.45">
      <c r="A436" s="21"/>
      <c r="C436" s="25"/>
    </row>
    <row r="437" spans="1:3" x14ac:dyDescent="0.45">
      <c r="A437" s="21"/>
      <c r="C437" s="25"/>
    </row>
    <row r="438" spans="1:3" x14ac:dyDescent="0.45">
      <c r="A438" s="21"/>
      <c r="C438" s="25"/>
    </row>
    <row r="439" spans="1:3" x14ac:dyDescent="0.45">
      <c r="A439" s="21"/>
      <c r="C439" s="25"/>
    </row>
    <row r="440" spans="1:3" x14ac:dyDescent="0.45">
      <c r="A440" s="21"/>
      <c r="C440" s="25"/>
    </row>
    <row r="441" spans="1:3" x14ac:dyDescent="0.45">
      <c r="A441" s="21"/>
      <c r="C441" s="25"/>
    </row>
    <row r="442" spans="1:3" x14ac:dyDescent="0.45">
      <c r="A442" s="21"/>
      <c r="C442" s="25"/>
    </row>
    <row r="443" spans="1:3" x14ac:dyDescent="0.45">
      <c r="A443" s="21"/>
      <c r="C443" s="25"/>
    </row>
    <row r="444" spans="1:3" x14ac:dyDescent="0.45">
      <c r="A444" s="21"/>
      <c r="C444" s="25"/>
    </row>
    <row r="445" spans="1:3" x14ac:dyDescent="0.45">
      <c r="A445" s="21"/>
      <c r="C445" s="25"/>
    </row>
    <row r="446" spans="1:3" x14ac:dyDescent="0.45">
      <c r="A446" s="21"/>
      <c r="C446" s="25"/>
    </row>
    <row r="447" spans="1:3" x14ac:dyDescent="0.45">
      <c r="A447" s="21"/>
      <c r="C447" s="25"/>
    </row>
    <row r="448" spans="1:3" x14ac:dyDescent="0.45">
      <c r="A448" s="21"/>
      <c r="C448" s="25"/>
    </row>
    <row r="449" spans="1:3" x14ac:dyDescent="0.45">
      <c r="A449" s="21"/>
      <c r="C449" s="25"/>
    </row>
    <row r="450" spans="1:3" x14ac:dyDescent="0.45">
      <c r="A450" s="21"/>
      <c r="C450" s="25"/>
    </row>
    <row r="451" spans="1:3" x14ac:dyDescent="0.45">
      <c r="A451" s="21"/>
      <c r="C451" s="25"/>
    </row>
    <row r="452" spans="1:3" x14ac:dyDescent="0.45">
      <c r="A452" s="21"/>
      <c r="C452" s="25"/>
    </row>
    <row r="453" spans="1:3" x14ac:dyDescent="0.45">
      <c r="A453" s="21"/>
      <c r="C453" s="25"/>
    </row>
    <row r="454" spans="1:3" x14ac:dyDescent="0.45">
      <c r="A454" s="21"/>
      <c r="C454" s="25"/>
    </row>
    <row r="455" spans="1:3" x14ac:dyDescent="0.45">
      <c r="A455" s="21"/>
      <c r="C455" s="25"/>
    </row>
    <row r="456" spans="1:3" x14ac:dyDescent="0.45">
      <c r="A456" s="21"/>
      <c r="C456" s="25"/>
    </row>
    <row r="457" spans="1:3" x14ac:dyDescent="0.45">
      <c r="A457" s="21"/>
      <c r="C457" s="25"/>
    </row>
    <row r="458" spans="1:3" x14ac:dyDescent="0.45">
      <c r="A458" s="21"/>
      <c r="C458" s="25"/>
    </row>
    <row r="459" spans="1:3" x14ac:dyDescent="0.45">
      <c r="A459" s="21"/>
      <c r="C459" s="25"/>
    </row>
    <row r="460" spans="1:3" x14ac:dyDescent="0.45">
      <c r="A460" s="21"/>
      <c r="C460" s="25"/>
    </row>
    <row r="461" spans="1:3" x14ac:dyDescent="0.45">
      <c r="A461" s="21"/>
      <c r="C461" s="25"/>
    </row>
    <row r="462" spans="1:3" x14ac:dyDescent="0.45">
      <c r="A462" s="21"/>
      <c r="C462" s="25"/>
    </row>
    <row r="463" spans="1:3" x14ac:dyDescent="0.45">
      <c r="A463" s="21"/>
      <c r="C463" s="25"/>
    </row>
    <row r="464" spans="1:3" x14ac:dyDescent="0.45">
      <c r="A464" s="21"/>
      <c r="C464" s="25"/>
    </row>
    <row r="465" spans="1:3" x14ac:dyDescent="0.45">
      <c r="A465" s="21"/>
      <c r="C465" s="25"/>
    </row>
    <row r="466" spans="1:3" x14ac:dyDescent="0.45">
      <c r="A466" s="21"/>
      <c r="C466" s="25"/>
    </row>
    <row r="467" spans="1:3" x14ac:dyDescent="0.45">
      <c r="A467" s="21"/>
      <c r="C467" s="25"/>
    </row>
    <row r="468" spans="1:3" x14ac:dyDescent="0.45">
      <c r="A468" s="21"/>
      <c r="C468" s="25"/>
    </row>
    <row r="469" spans="1:3" x14ac:dyDescent="0.45">
      <c r="A469" s="21"/>
      <c r="C469" s="25"/>
    </row>
    <row r="470" spans="1:3" x14ac:dyDescent="0.45">
      <c r="A470" s="21"/>
      <c r="C470" s="25"/>
    </row>
    <row r="471" spans="1:3" x14ac:dyDescent="0.45">
      <c r="A471" s="21"/>
      <c r="C471" s="25"/>
    </row>
    <row r="472" spans="1:3" x14ac:dyDescent="0.45">
      <c r="A472" s="21"/>
      <c r="C472" s="25"/>
    </row>
    <row r="473" spans="1:3" x14ac:dyDescent="0.45">
      <c r="A473" s="21"/>
      <c r="C473" s="25"/>
    </row>
    <row r="474" spans="1:3" x14ac:dyDescent="0.45">
      <c r="A474" s="21"/>
      <c r="C474" s="25"/>
    </row>
    <row r="475" spans="1:3" x14ac:dyDescent="0.45">
      <c r="A475" s="21"/>
      <c r="C475" s="25"/>
    </row>
    <row r="476" spans="1:3" x14ac:dyDescent="0.45">
      <c r="A476" s="21"/>
      <c r="C476" s="25"/>
    </row>
    <row r="477" spans="1:3" x14ac:dyDescent="0.45">
      <c r="A477" s="21"/>
      <c r="C477" s="25"/>
    </row>
    <row r="478" spans="1:3" x14ac:dyDescent="0.45">
      <c r="A478" s="21"/>
      <c r="C478" s="25"/>
    </row>
    <row r="479" spans="1:3" x14ac:dyDescent="0.45">
      <c r="A479" s="21"/>
      <c r="C479" s="25"/>
    </row>
    <row r="480" spans="1:3" x14ac:dyDescent="0.45">
      <c r="A480" s="21"/>
      <c r="C480" s="25"/>
    </row>
    <row r="481" spans="1:3" x14ac:dyDescent="0.45">
      <c r="A481" s="21"/>
      <c r="C481" s="25"/>
    </row>
    <row r="482" spans="1:3" x14ac:dyDescent="0.45">
      <c r="A482" s="21"/>
      <c r="C482" s="25"/>
    </row>
    <row r="483" spans="1:3" x14ac:dyDescent="0.45">
      <c r="A483" s="21"/>
      <c r="C483" s="25"/>
    </row>
    <row r="484" spans="1:3" x14ac:dyDescent="0.45">
      <c r="A484" s="21"/>
      <c r="C484" s="25"/>
    </row>
    <row r="485" spans="1:3" x14ac:dyDescent="0.45">
      <c r="A485" s="21"/>
      <c r="C485" s="25"/>
    </row>
    <row r="486" spans="1:3" x14ac:dyDescent="0.45">
      <c r="A486" s="21"/>
      <c r="C486" s="25"/>
    </row>
    <row r="487" spans="1:3" x14ac:dyDescent="0.45">
      <c r="A487" s="21"/>
      <c r="C487" s="25"/>
    </row>
    <row r="488" spans="1:3" x14ac:dyDescent="0.45">
      <c r="A488" s="21"/>
      <c r="C488" s="25"/>
    </row>
    <row r="489" spans="1:3" x14ac:dyDescent="0.45">
      <c r="A489" s="21"/>
      <c r="C489" s="25"/>
    </row>
    <row r="490" spans="1:3" x14ac:dyDescent="0.45">
      <c r="A490" s="21"/>
      <c r="C490" s="25"/>
    </row>
    <row r="491" spans="1:3" x14ac:dyDescent="0.45">
      <c r="A491" s="21"/>
      <c r="C491" s="25"/>
    </row>
    <row r="492" spans="1:3" x14ac:dyDescent="0.45">
      <c r="A492" s="21"/>
      <c r="C492" s="25"/>
    </row>
    <row r="493" spans="1:3" x14ac:dyDescent="0.45">
      <c r="A493" s="21"/>
      <c r="C493" s="25"/>
    </row>
    <row r="494" spans="1:3" x14ac:dyDescent="0.45">
      <c r="A494" s="21"/>
      <c r="C494" s="25"/>
    </row>
    <row r="495" spans="1:3" x14ac:dyDescent="0.45">
      <c r="A495" s="21"/>
      <c r="C495" s="25"/>
    </row>
    <row r="496" spans="1:3" x14ac:dyDescent="0.45">
      <c r="A496" s="21"/>
      <c r="C496" s="25"/>
    </row>
    <row r="497" spans="1:3" x14ac:dyDescent="0.45">
      <c r="A497" s="21"/>
      <c r="C497" s="25"/>
    </row>
    <row r="498" spans="1:3" x14ac:dyDescent="0.45">
      <c r="A498" s="21"/>
      <c r="C498" s="25"/>
    </row>
    <row r="499" spans="1:3" x14ac:dyDescent="0.45">
      <c r="A499" s="21"/>
      <c r="C499" s="25"/>
    </row>
    <row r="500" spans="1:3" x14ac:dyDescent="0.45">
      <c r="A500" s="21"/>
      <c r="C500" s="25"/>
    </row>
    <row r="501" spans="1:3" x14ac:dyDescent="0.45">
      <c r="A501" s="21"/>
      <c r="C501" s="25"/>
    </row>
    <row r="502" spans="1:3" x14ac:dyDescent="0.45">
      <c r="A502" s="21"/>
      <c r="C502" s="25"/>
    </row>
    <row r="503" spans="1:3" x14ac:dyDescent="0.45">
      <c r="A503" s="21"/>
      <c r="C503" s="25"/>
    </row>
    <row r="504" spans="1:3" x14ac:dyDescent="0.45">
      <c r="A504" s="21"/>
      <c r="C504" s="25"/>
    </row>
    <row r="505" spans="1:3" x14ac:dyDescent="0.45">
      <c r="A505" s="21"/>
    </row>
    <row r="506" spans="1:3" x14ac:dyDescent="0.45">
      <c r="A506" s="21"/>
    </row>
    <row r="507" spans="1:3" x14ac:dyDescent="0.45">
      <c r="A507" s="21"/>
    </row>
    <row r="508" spans="1:3" x14ac:dyDescent="0.45">
      <c r="A508" s="21"/>
    </row>
    <row r="509" spans="1:3" x14ac:dyDescent="0.45">
      <c r="A509" s="21"/>
    </row>
    <row r="510" spans="1:3" x14ac:dyDescent="0.45">
      <c r="A510" s="21"/>
    </row>
    <row r="511" spans="1:3" x14ac:dyDescent="0.45">
      <c r="A511" s="21"/>
    </row>
    <row r="512" spans="1:3" x14ac:dyDescent="0.45">
      <c r="A512" s="21"/>
    </row>
    <row r="513" spans="1:1" x14ac:dyDescent="0.45">
      <c r="A513" s="21"/>
    </row>
    <row r="514" spans="1:1" x14ac:dyDescent="0.45">
      <c r="A514" s="21"/>
    </row>
    <row r="515" spans="1:1" x14ac:dyDescent="0.45">
      <c r="A515" s="21"/>
    </row>
    <row r="516" spans="1:1" x14ac:dyDescent="0.45">
      <c r="A516" s="21"/>
    </row>
    <row r="517" spans="1:1" x14ac:dyDescent="0.45">
      <c r="A517" s="21"/>
    </row>
    <row r="518" spans="1:1" x14ac:dyDescent="0.45">
      <c r="A518" s="21"/>
    </row>
    <row r="519" spans="1:1" x14ac:dyDescent="0.45">
      <c r="A519" s="21"/>
    </row>
    <row r="520" spans="1:1" x14ac:dyDescent="0.45">
      <c r="A520" s="21"/>
    </row>
    <row r="521" spans="1:1" x14ac:dyDescent="0.45">
      <c r="A521" s="21"/>
    </row>
    <row r="522" spans="1:1" x14ac:dyDescent="0.45">
      <c r="A522" s="21"/>
    </row>
    <row r="523" spans="1:1" x14ac:dyDescent="0.45">
      <c r="A523" s="21"/>
    </row>
    <row r="524" spans="1:1" x14ac:dyDescent="0.45">
      <c r="A524" s="21"/>
    </row>
    <row r="525" spans="1:1" x14ac:dyDescent="0.45">
      <c r="A525" s="21"/>
    </row>
    <row r="526" spans="1:1" x14ac:dyDescent="0.45">
      <c r="A526" s="21"/>
    </row>
    <row r="527" spans="1:1" x14ac:dyDescent="0.45">
      <c r="A527" s="21"/>
    </row>
    <row r="528" spans="1:1" x14ac:dyDescent="0.45">
      <c r="A528" s="21"/>
    </row>
    <row r="529" spans="1:1" x14ac:dyDescent="0.45">
      <c r="A529" s="21"/>
    </row>
    <row r="530" spans="1:1" x14ac:dyDescent="0.45">
      <c r="A530" s="21"/>
    </row>
    <row r="531" spans="1:1" x14ac:dyDescent="0.45">
      <c r="A531" s="21"/>
    </row>
    <row r="532" spans="1:1" x14ac:dyDescent="0.45">
      <c r="A532" s="21"/>
    </row>
    <row r="533" spans="1:1" x14ac:dyDescent="0.45">
      <c r="A533" s="21"/>
    </row>
    <row r="534" spans="1:1" x14ac:dyDescent="0.45">
      <c r="A534" s="21"/>
    </row>
    <row r="535" spans="1:1" x14ac:dyDescent="0.45">
      <c r="A535" s="21"/>
    </row>
    <row r="536" spans="1:1" x14ac:dyDescent="0.45">
      <c r="A536" s="21"/>
    </row>
    <row r="537" spans="1:1" x14ac:dyDescent="0.45">
      <c r="A537" s="21"/>
    </row>
    <row r="538" spans="1:1" x14ac:dyDescent="0.45">
      <c r="A538" s="21"/>
    </row>
    <row r="539" spans="1:1" x14ac:dyDescent="0.45">
      <c r="A539" s="21"/>
    </row>
    <row r="540" spans="1:1" x14ac:dyDescent="0.45">
      <c r="A540" s="21"/>
    </row>
    <row r="541" spans="1:1" x14ac:dyDescent="0.45">
      <c r="A541" s="21"/>
    </row>
    <row r="542" spans="1:1" x14ac:dyDescent="0.45">
      <c r="A542" s="21"/>
    </row>
    <row r="543" spans="1:1" x14ac:dyDescent="0.45">
      <c r="A543" s="21"/>
    </row>
    <row r="544" spans="1:1" x14ac:dyDescent="0.45">
      <c r="A544" s="21"/>
    </row>
    <row r="545" spans="1:1" x14ac:dyDescent="0.45">
      <c r="A545" s="21"/>
    </row>
    <row r="546" spans="1:1" x14ac:dyDescent="0.45">
      <c r="A546" s="21"/>
    </row>
    <row r="547" spans="1:1" x14ac:dyDescent="0.45">
      <c r="A547" s="21"/>
    </row>
    <row r="548" spans="1:1" x14ac:dyDescent="0.45">
      <c r="A548" s="21"/>
    </row>
    <row r="549" spans="1:1" x14ac:dyDescent="0.45">
      <c r="A549" s="21"/>
    </row>
    <row r="550" spans="1:1" x14ac:dyDescent="0.45">
      <c r="A550" s="21"/>
    </row>
    <row r="551" spans="1:1" x14ac:dyDescent="0.45">
      <c r="A551" s="21"/>
    </row>
    <row r="552" spans="1:1" x14ac:dyDescent="0.45">
      <c r="A552" s="21"/>
    </row>
    <row r="553" spans="1:1" x14ac:dyDescent="0.45">
      <c r="A553" s="21"/>
    </row>
    <row r="554" spans="1:1" x14ac:dyDescent="0.45">
      <c r="A554" s="21"/>
    </row>
    <row r="555" spans="1:1" x14ac:dyDescent="0.45">
      <c r="A555" s="21"/>
    </row>
    <row r="556" spans="1:1" x14ac:dyDescent="0.45">
      <c r="A556" s="21"/>
    </row>
    <row r="557" spans="1:1" x14ac:dyDescent="0.45">
      <c r="A557" s="21"/>
    </row>
    <row r="558" spans="1:1" x14ac:dyDescent="0.45">
      <c r="A558" s="21"/>
    </row>
    <row r="559" spans="1:1" x14ac:dyDescent="0.45">
      <c r="A559" s="21"/>
    </row>
    <row r="560" spans="1:1" x14ac:dyDescent="0.45">
      <c r="A560" s="21"/>
    </row>
    <row r="561" spans="1:1" x14ac:dyDescent="0.45">
      <c r="A561" s="21"/>
    </row>
    <row r="562" spans="1:1" x14ac:dyDescent="0.45">
      <c r="A562" s="21"/>
    </row>
    <row r="563" spans="1:1" x14ac:dyDescent="0.45">
      <c r="A563" s="21"/>
    </row>
    <row r="564" spans="1:1" x14ac:dyDescent="0.45">
      <c r="A564" s="21"/>
    </row>
    <row r="565" spans="1:1" x14ac:dyDescent="0.45">
      <c r="A565" s="21"/>
    </row>
    <row r="566" spans="1:1" x14ac:dyDescent="0.45">
      <c r="A566" s="21"/>
    </row>
    <row r="567" spans="1:1" x14ac:dyDescent="0.45">
      <c r="A567" s="21"/>
    </row>
    <row r="568" spans="1:1" x14ac:dyDescent="0.45">
      <c r="A568" s="21"/>
    </row>
    <row r="569" spans="1:1" x14ac:dyDescent="0.45">
      <c r="A569" s="21"/>
    </row>
    <row r="570" spans="1:1" x14ac:dyDescent="0.45">
      <c r="A570" s="21"/>
    </row>
    <row r="571" spans="1:1" x14ac:dyDescent="0.45">
      <c r="A571" s="21"/>
    </row>
    <row r="572" spans="1:1" x14ac:dyDescent="0.45">
      <c r="A572" s="21"/>
    </row>
    <row r="573" spans="1:1" x14ac:dyDescent="0.45">
      <c r="A573" s="21"/>
    </row>
    <row r="574" spans="1:1" x14ac:dyDescent="0.45">
      <c r="A574" s="21"/>
    </row>
    <row r="575" spans="1:1" x14ac:dyDescent="0.45">
      <c r="A575" s="21"/>
    </row>
    <row r="576" spans="1:1" x14ac:dyDescent="0.45">
      <c r="A576" s="21"/>
    </row>
    <row r="577" spans="1:1" x14ac:dyDescent="0.45">
      <c r="A577" s="21"/>
    </row>
    <row r="578" spans="1:1" x14ac:dyDescent="0.45">
      <c r="A578" s="21"/>
    </row>
    <row r="579" spans="1:1" x14ac:dyDescent="0.45">
      <c r="A579" s="21"/>
    </row>
    <row r="580" spans="1:1" x14ac:dyDescent="0.45">
      <c r="A580" s="21"/>
    </row>
    <row r="581" spans="1:1" x14ac:dyDescent="0.45">
      <c r="A581" s="21"/>
    </row>
    <row r="582" spans="1:1" x14ac:dyDescent="0.45">
      <c r="A582" s="21"/>
    </row>
    <row r="583" spans="1:1" x14ac:dyDescent="0.45">
      <c r="A583" s="21"/>
    </row>
    <row r="584" spans="1:1" x14ac:dyDescent="0.45">
      <c r="A584" s="21"/>
    </row>
    <row r="585" spans="1:1" x14ac:dyDescent="0.45">
      <c r="A585" s="21"/>
    </row>
    <row r="586" spans="1:1" x14ac:dyDescent="0.45">
      <c r="A586" s="21"/>
    </row>
    <row r="587" spans="1:1" x14ac:dyDescent="0.45">
      <c r="A587" s="21"/>
    </row>
    <row r="588" spans="1:1" x14ac:dyDescent="0.45">
      <c r="A588" s="21"/>
    </row>
    <row r="589" spans="1:1" x14ac:dyDescent="0.45">
      <c r="A589" s="21"/>
    </row>
    <row r="590" spans="1:1" x14ac:dyDescent="0.45">
      <c r="A590" s="21"/>
    </row>
    <row r="591" spans="1:1" x14ac:dyDescent="0.45">
      <c r="A591" s="21"/>
    </row>
    <row r="592" spans="1:1" x14ac:dyDescent="0.45">
      <c r="A592" s="21"/>
    </row>
    <row r="593" spans="1:1" x14ac:dyDescent="0.45">
      <c r="A593" s="21"/>
    </row>
    <row r="594" spans="1:1" x14ac:dyDescent="0.45">
      <c r="A594" s="21"/>
    </row>
    <row r="595" spans="1:1" x14ac:dyDescent="0.45">
      <c r="A595" s="21"/>
    </row>
    <row r="596" spans="1:1" x14ac:dyDescent="0.45">
      <c r="A596" s="21"/>
    </row>
    <row r="597" spans="1:1" x14ac:dyDescent="0.45">
      <c r="A597" s="21"/>
    </row>
    <row r="598" spans="1:1" x14ac:dyDescent="0.45">
      <c r="A598" s="21"/>
    </row>
    <row r="599" spans="1:1" x14ac:dyDescent="0.45">
      <c r="A599" s="21"/>
    </row>
    <row r="600" spans="1:1" x14ac:dyDescent="0.45">
      <c r="A600" s="21"/>
    </row>
    <row r="601" spans="1:1" x14ac:dyDescent="0.45">
      <c r="A601" s="21"/>
    </row>
    <row r="602" spans="1:1" x14ac:dyDescent="0.45">
      <c r="A602" s="21"/>
    </row>
    <row r="603" spans="1:1" x14ac:dyDescent="0.45">
      <c r="A603" s="21"/>
    </row>
    <row r="604" spans="1:1" x14ac:dyDescent="0.45">
      <c r="A604" s="21"/>
    </row>
    <row r="605" spans="1:1" x14ac:dyDescent="0.45">
      <c r="A605" s="21"/>
    </row>
    <row r="606" spans="1:1" x14ac:dyDescent="0.45">
      <c r="A606" s="21"/>
    </row>
    <row r="607" spans="1:1" x14ac:dyDescent="0.45">
      <c r="A607" s="21"/>
    </row>
    <row r="608" spans="1:1" x14ac:dyDescent="0.45">
      <c r="A608" s="21"/>
    </row>
    <row r="609" spans="1:1" x14ac:dyDescent="0.45">
      <c r="A609" s="21"/>
    </row>
    <row r="610" spans="1:1" x14ac:dyDescent="0.45">
      <c r="A610" s="21"/>
    </row>
    <row r="611" spans="1:1" x14ac:dyDescent="0.45">
      <c r="A611" s="21"/>
    </row>
    <row r="612" spans="1:1" x14ac:dyDescent="0.45">
      <c r="A612" s="21"/>
    </row>
    <row r="613" spans="1:1" x14ac:dyDescent="0.45">
      <c r="A613" s="21"/>
    </row>
    <row r="614" spans="1:1" x14ac:dyDescent="0.45">
      <c r="A614" s="21"/>
    </row>
    <row r="615" spans="1:1" x14ac:dyDescent="0.45">
      <c r="A615" s="21"/>
    </row>
    <row r="616" spans="1:1" x14ac:dyDescent="0.45">
      <c r="A616" s="21"/>
    </row>
    <row r="617" spans="1:1" x14ac:dyDescent="0.45">
      <c r="A617" s="21"/>
    </row>
    <row r="618" spans="1:1" x14ac:dyDescent="0.45">
      <c r="A618" s="21"/>
    </row>
    <row r="619" spans="1:1" x14ac:dyDescent="0.45">
      <c r="A619" s="21"/>
    </row>
    <row r="620" spans="1:1" x14ac:dyDescent="0.45">
      <c r="A620" s="21"/>
    </row>
    <row r="621" spans="1:1" x14ac:dyDescent="0.45">
      <c r="A621" s="21"/>
    </row>
    <row r="622" spans="1:1" x14ac:dyDescent="0.45">
      <c r="A622" s="21"/>
    </row>
    <row r="623" spans="1:1" x14ac:dyDescent="0.45">
      <c r="A623" s="21"/>
    </row>
    <row r="624" spans="1:1" x14ac:dyDescent="0.45">
      <c r="A624" s="21"/>
    </row>
    <row r="625" spans="1:1" x14ac:dyDescent="0.45">
      <c r="A625" s="21"/>
    </row>
    <row r="626" spans="1:1" x14ac:dyDescent="0.45">
      <c r="A626" s="21"/>
    </row>
    <row r="627" spans="1:1" x14ac:dyDescent="0.45">
      <c r="A627" s="21"/>
    </row>
    <row r="628" spans="1:1" x14ac:dyDescent="0.45">
      <c r="A628" s="21"/>
    </row>
    <row r="629" spans="1:1" x14ac:dyDescent="0.45">
      <c r="A629" s="21"/>
    </row>
    <row r="630" spans="1:1" x14ac:dyDescent="0.45">
      <c r="A630" s="21"/>
    </row>
    <row r="631" spans="1:1" x14ac:dyDescent="0.45">
      <c r="A631" s="21"/>
    </row>
    <row r="632" spans="1:1" x14ac:dyDescent="0.45">
      <c r="A632" s="21"/>
    </row>
    <row r="633" spans="1:1" x14ac:dyDescent="0.45">
      <c r="A633" s="21"/>
    </row>
    <row r="634" spans="1:1" x14ac:dyDescent="0.45">
      <c r="A634" s="21"/>
    </row>
    <row r="635" spans="1:1" x14ac:dyDescent="0.45">
      <c r="A635" s="21"/>
    </row>
    <row r="636" spans="1:1" x14ac:dyDescent="0.45">
      <c r="A636" s="21"/>
    </row>
    <row r="637" spans="1:1" x14ac:dyDescent="0.45">
      <c r="A637" s="21"/>
    </row>
    <row r="638" spans="1:1" x14ac:dyDescent="0.45">
      <c r="A638" s="21"/>
    </row>
    <row r="639" spans="1:1" x14ac:dyDescent="0.45">
      <c r="A639" s="21"/>
    </row>
    <row r="640" spans="1:1" x14ac:dyDescent="0.45">
      <c r="A640" s="21"/>
    </row>
    <row r="641" spans="1:1" x14ac:dyDescent="0.45">
      <c r="A641" s="21"/>
    </row>
    <row r="642" spans="1:1" x14ac:dyDescent="0.45">
      <c r="A642" s="21"/>
    </row>
    <row r="643" spans="1:1" x14ac:dyDescent="0.45">
      <c r="A643" s="21"/>
    </row>
    <row r="644" spans="1:1" x14ac:dyDescent="0.45">
      <c r="A644" s="21"/>
    </row>
    <row r="645" spans="1:1" x14ac:dyDescent="0.45">
      <c r="A645" s="21"/>
    </row>
    <row r="646" spans="1:1" x14ac:dyDescent="0.45">
      <c r="A646" s="21"/>
    </row>
    <row r="647" spans="1:1" x14ac:dyDescent="0.45">
      <c r="A647" s="21"/>
    </row>
    <row r="648" spans="1:1" x14ac:dyDescent="0.45">
      <c r="A648" s="21"/>
    </row>
    <row r="649" spans="1:1" x14ac:dyDescent="0.45">
      <c r="A649" s="21"/>
    </row>
    <row r="650" spans="1:1" x14ac:dyDescent="0.45">
      <c r="A650" s="21"/>
    </row>
    <row r="651" spans="1:1" x14ac:dyDescent="0.45">
      <c r="A651" s="21"/>
    </row>
    <row r="652" spans="1:1" x14ac:dyDescent="0.45">
      <c r="A652" s="21"/>
    </row>
  </sheetData>
  <phoneticPr fontId="12" type="noConversion"/>
  <conditionalFormatting sqref="M2 I1:I1048576">
    <cfRule type="cellIs" dxfId="11" priority="98" operator="equal">
      <formula>"Failed"</formula>
    </cfRule>
    <cfRule type="cellIs" dxfId="10" priority="99" operator="equal">
      <formula>"Not Run"</formula>
    </cfRule>
    <cfRule type="cellIs" dxfId="9" priority="100" operator="equal">
      <formula>"Passed"</formula>
    </cfRule>
  </conditionalFormatting>
  <conditionalFormatting sqref="I2:I993">
    <cfRule type="containsText" dxfId="8" priority="97" operator="containsText" text="Blocked">
      <formula>NOT(ISERROR(SEARCH("Blocked",I2)))</formula>
    </cfRule>
  </conditionalFormatting>
  <dataValidations count="5">
    <dataValidation type="list" allowBlank="1" showInputMessage="1" showErrorMessage="1" sqref="B2:B38" xr:uid="{3D3EF8A2-9ABF-4FA8-A9D0-185455AB103F}">
      <formula1>"Observation, Header, End of File"</formula1>
    </dataValidation>
    <dataValidation type="list" allowBlank="1" showInputMessage="1" showErrorMessage="1" sqref="I235:I1048576" xr:uid="{344CEBFB-CAD3-4EEB-A58E-D63516FF01D2}">
      <formula1>"Correct,Incorrect,Suggestion,Can't Tested"</formula1>
    </dataValidation>
    <dataValidation type="list" allowBlank="1" showInputMessage="1" showErrorMessage="1" sqref="I2:I234" xr:uid="{D9D5869B-ADBE-428A-A6F1-18059C571E52}">
      <formula1>"Passed,Failed,Blocked,Not Run"</formula1>
    </dataValidation>
    <dataValidation type="list" allowBlank="1" showInputMessage="1" showErrorMessage="1" sqref="C2" xr:uid="{5BFE99E2-003D-44D1-BFA8-0A6F1AD32511}">
      <formula1>"Observation, Header, Enfd of File"</formula1>
    </dataValidation>
    <dataValidation type="list" allowBlank="1" showInputMessage="1" showErrorMessage="1" sqref="M2" xr:uid="{011831B4-62D6-4963-9735-47E9AE43655A}">
      <formula1>"Correct,Incorrect,Suggestion"</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DDEB6-1E99-4E45-A349-AFB7AF78C493}">
  <dimension ref="A1:Y652"/>
  <sheetViews>
    <sheetView zoomScale="74" zoomScaleNormal="85" workbookViewId="0">
      <pane ySplit="1" topLeftCell="A2" activePane="bottomLeft" state="frozen"/>
      <selection pane="bottomLeft" activeCell="D10" sqref="D10:E11"/>
    </sheetView>
  </sheetViews>
  <sheetFormatPr defaultRowHeight="14.25" x14ac:dyDescent="0.45"/>
  <cols>
    <col min="1" max="1" width="8.73046875" customWidth="1"/>
    <col min="2" max="2" width="16.3984375" style="29" customWidth="1"/>
    <col min="3" max="3" width="27" style="2" customWidth="1"/>
    <col min="4" max="4" width="40.86328125" style="3" customWidth="1"/>
    <col min="5" max="6" width="28" style="3" customWidth="1"/>
    <col min="7" max="7" width="27.6640625" style="3" customWidth="1"/>
    <col min="8" max="8" width="36.1328125" style="3" customWidth="1"/>
    <col min="9" max="9" width="19.59765625" style="3" customWidth="1"/>
    <col min="10" max="12" width="23.1328125" style="3" customWidth="1"/>
    <col min="13" max="13" width="23.59765625" customWidth="1"/>
    <col min="14" max="14" width="18.73046875" customWidth="1"/>
    <col min="15" max="25" width="0" hidden="1" customWidth="1"/>
  </cols>
  <sheetData>
    <row r="1" spans="1:25" s="2" customFormat="1" ht="24.75" x14ac:dyDescent="0.45">
      <c r="A1" s="15" t="s">
        <v>3</v>
      </c>
      <c r="B1" s="15" t="s">
        <v>6</v>
      </c>
      <c r="C1" s="15" t="s">
        <v>36</v>
      </c>
      <c r="D1" s="15" t="s">
        <v>0</v>
      </c>
      <c r="E1" s="26" t="s">
        <v>46</v>
      </c>
      <c r="F1" s="15" t="s">
        <v>1</v>
      </c>
      <c r="G1" s="15" t="s">
        <v>2</v>
      </c>
      <c r="H1" s="15" t="s">
        <v>7</v>
      </c>
      <c r="I1" s="16" t="s">
        <v>5</v>
      </c>
      <c r="J1" s="27" t="s">
        <v>33</v>
      </c>
      <c r="K1" s="14" t="s">
        <v>32</v>
      </c>
      <c r="L1" s="17" t="s">
        <v>5</v>
      </c>
      <c r="M1" s="13" t="s">
        <v>33</v>
      </c>
      <c r="N1" s="17" t="s">
        <v>32</v>
      </c>
      <c r="O1" s="1"/>
      <c r="P1" s="1"/>
      <c r="Q1" s="1"/>
      <c r="R1" s="1"/>
      <c r="S1" s="1"/>
      <c r="T1" s="1"/>
      <c r="U1" s="1"/>
      <c r="V1" s="1"/>
      <c r="W1" s="1"/>
      <c r="X1" s="1"/>
      <c r="Y1" s="1"/>
    </row>
    <row r="2" spans="1:25" x14ac:dyDescent="0.45">
      <c r="A2" s="19"/>
      <c r="B2" s="28" t="s">
        <v>34</v>
      </c>
      <c r="C2" s="22"/>
      <c r="D2" s="18" t="s">
        <v>545</v>
      </c>
      <c r="M2" s="3"/>
    </row>
    <row r="3" spans="1:25" ht="128.25" x14ac:dyDescent="0.45">
      <c r="A3" s="20" t="str">
        <f>"TC"&amp;TEXT(ROW(A1)+94,"00")</f>
        <v>TC95</v>
      </c>
      <c r="B3" s="28" t="s">
        <v>31</v>
      </c>
      <c r="C3" s="24" t="s">
        <v>548</v>
      </c>
      <c r="D3" s="3" t="s">
        <v>547</v>
      </c>
      <c r="E3" s="3" t="s">
        <v>549</v>
      </c>
      <c r="F3" s="3" t="s">
        <v>550</v>
      </c>
      <c r="G3" s="3" t="s">
        <v>551</v>
      </c>
      <c r="H3" s="3" t="s">
        <v>552</v>
      </c>
      <c r="I3" s="3" t="s">
        <v>643</v>
      </c>
      <c r="J3" s="3" t="s">
        <v>553</v>
      </c>
      <c r="K3" s="23" t="s">
        <v>63</v>
      </c>
    </row>
    <row r="4" spans="1:25" ht="156.75" x14ac:dyDescent="0.45">
      <c r="A4" s="20" t="str">
        <f t="shared" ref="A4:A7" si="0">"TC"&amp;TEXT(ROW(A2)+94,"00")</f>
        <v>TC96</v>
      </c>
      <c r="B4" s="28" t="s">
        <v>31</v>
      </c>
      <c r="C4" s="24" t="s">
        <v>546</v>
      </c>
      <c r="D4" s="3" t="s">
        <v>554</v>
      </c>
      <c r="E4" s="3" t="s">
        <v>555</v>
      </c>
      <c r="F4" s="3" t="s">
        <v>556</v>
      </c>
      <c r="G4" s="3" t="s">
        <v>369</v>
      </c>
      <c r="H4" s="3" t="s">
        <v>557</v>
      </c>
      <c r="I4" s="3" t="s">
        <v>643</v>
      </c>
      <c r="J4" s="3" t="s">
        <v>558</v>
      </c>
      <c r="K4" s="3" t="s">
        <v>63</v>
      </c>
    </row>
    <row r="5" spans="1:25" ht="85.5" x14ac:dyDescent="0.45">
      <c r="A5" s="20" t="str">
        <f t="shared" si="0"/>
        <v>TC97</v>
      </c>
      <c r="B5" s="28" t="s">
        <v>31</v>
      </c>
      <c r="C5" s="24" t="s">
        <v>546</v>
      </c>
      <c r="D5" s="3" t="s">
        <v>559</v>
      </c>
      <c r="E5" s="3" t="s">
        <v>560</v>
      </c>
      <c r="F5" s="3" t="s">
        <v>561</v>
      </c>
      <c r="G5" s="3" t="s">
        <v>369</v>
      </c>
      <c r="H5" s="3" t="s">
        <v>562</v>
      </c>
      <c r="I5" s="3" t="s">
        <v>643</v>
      </c>
      <c r="J5" s="3" t="s">
        <v>563</v>
      </c>
      <c r="K5" s="23" t="s">
        <v>63</v>
      </c>
    </row>
    <row r="6" spans="1:25" ht="142.5" x14ac:dyDescent="0.45">
      <c r="A6" s="20" t="str">
        <f t="shared" si="0"/>
        <v>TC98</v>
      </c>
      <c r="B6" s="28" t="s">
        <v>31</v>
      </c>
      <c r="C6" s="24" t="s">
        <v>546</v>
      </c>
      <c r="D6" s="3" t="s">
        <v>564</v>
      </c>
      <c r="E6" s="3" t="s">
        <v>565</v>
      </c>
      <c r="F6" s="3" t="s">
        <v>566</v>
      </c>
      <c r="G6" s="3" t="s">
        <v>567</v>
      </c>
      <c r="H6" s="3" t="s">
        <v>568</v>
      </c>
      <c r="I6" s="3" t="s">
        <v>643</v>
      </c>
      <c r="J6" s="3" t="s">
        <v>569</v>
      </c>
      <c r="K6" s="3" t="s">
        <v>63</v>
      </c>
    </row>
    <row r="7" spans="1:25" ht="246.75" customHeight="1" x14ac:dyDescent="0.45">
      <c r="A7" s="20" t="str">
        <f t="shared" si="0"/>
        <v>TC99</v>
      </c>
      <c r="B7" s="28" t="s">
        <v>31</v>
      </c>
      <c r="C7" s="24" t="s">
        <v>546</v>
      </c>
      <c r="D7" s="3" t="s">
        <v>570</v>
      </c>
      <c r="E7" s="3" t="s">
        <v>571</v>
      </c>
      <c r="F7" s="3" t="s">
        <v>572</v>
      </c>
      <c r="G7" s="3" t="s">
        <v>573</v>
      </c>
      <c r="H7" s="3" t="s">
        <v>574</v>
      </c>
      <c r="I7" s="3" t="s">
        <v>643</v>
      </c>
      <c r="J7" s="3" t="s">
        <v>575</v>
      </c>
      <c r="K7" s="3" t="s">
        <v>63</v>
      </c>
    </row>
    <row r="8" spans="1:25" x14ac:dyDescent="0.45">
      <c r="A8" s="3"/>
      <c r="B8"/>
      <c r="C8"/>
      <c r="D8"/>
      <c r="E8"/>
      <c r="F8"/>
      <c r="G8"/>
      <c r="H8"/>
      <c r="J8"/>
      <c r="K8"/>
      <c r="L8"/>
    </row>
    <row r="9" spans="1:25" x14ac:dyDescent="0.45">
      <c r="A9" s="3"/>
      <c r="B9"/>
      <c r="C9"/>
      <c r="D9"/>
      <c r="E9"/>
      <c r="F9"/>
      <c r="G9"/>
      <c r="H9"/>
      <c r="J9"/>
      <c r="K9"/>
      <c r="L9"/>
    </row>
    <row r="10" spans="1:25" x14ac:dyDescent="0.45">
      <c r="A10" s="3"/>
      <c r="B10"/>
      <c r="C10"/>
      <c r="D10">
        <f>COUNTIF(I:I,"Passed")</f>
        <v>5</v>
      </c>
      <c r="E10" s="3" t="s">
        <v>644</v>
      </c>
      <c r="F10"/>
      <c r="G10"/>
      <c r="H10"/>
      <c r="J10"/>
      <c r="K10"/>
      <c r="L10"/>
    </row>
    <row r="11" spans="1:25" x14ac:dyDescent="0.45">
      <c r="A11" s="3"/>
      <c r="B11"/>
      <c r="C11"/>
      <c r="D11">
        <f>COUNTIF(I:I,"Failed")</f>
        <v>0</v>
      </c>
      <c r="E11" s="3" t="s">
        <v>645</v>
      </c>
      <c r="F11"/>
      <c r="G11"/>
      <c r="H11"/>
      <c r="J11"/>
      <c r="K11"/>
      <c r="L11"/>
    </row>
    <row r="12" spans="1:25" x14ac:dyDescent="0.45">
      <c r="A12" s="3"/>
      <c r="B12"/>
      <c r="C12"/>
      <c r="D12"/>
      <c r="E12"/>
      <c r="F12"/>
      <c r="G12"/>
      <c r="H12"/>
      <c r="J12"/>
      <c r="K12"/>
      <c r="L12"/>
    </row>
    <row r="13" spans="1:25" x14ac:dyDescent="0.45">
      <c r="A13" s="3"/>
      <c r="B13"/>
      <c r="C13"/>
      <c r="D13"/>
      <c r="E13"/>
      <c r="F13"/>
      <c r="G13"/>
      <c r="H13"/>
      <c r="J13"/>
      <c r="K13"/>
      <c r="L13"/>
    </row>
    <row r="14" spans="1:25" x14ac:dyDescent="0.45">
      <c r="A14" s="3"/>
      <c r="B14"/>
      <c r="C14"/>
      <c r="D14"/>
      <c r="E14"/>
      <c r="F14"/>
      <c r="G14"/>
      <c r="H14"/>
      <c r="J14"/>
      <c r="K14"/>
      <c r="L14"/>
    </row>
    <row r="15" spans="1:25" x14ac:dyDescent="0.45">
      <c r="A15" s="3"/>
      <c r="B15"/>
      <c r="C15"/>
      <c r="D15"/>
      <c r="E15"/>
      <c r="F15"/>
      <c r="G15"/>
      <c r="H15"/>
      <c r="J15"/>
      <c r="K15"/>
      <c r="L15"/>
    </row>
    <row r="16" spans="1:25" x14ac:dyDescent="0.45">
      <c r="A16" s="3"/>
      <c r="B16"/>
      <c r="C16"/>
      <c r="D16"/>
      <c r="E16"/>
      <c r="F16"/>
      <c r="G16"/>
      <c r="H16"/>
      <c r="J16"/>
      <c r="K16"/>
      <c r="L16"/>
    </row>
    <row r="17" spans="1:12" x14ac:dyDescent="0.45">
      <c r="A17" s="3"/>
      <c r="B17"/>
      <c r="C17"/>
      <c r="D17"/>
      <c r="E17"/>
      <c r="F17"/>
      <c r="G17"/>
      <c r="H17"/>
      <c r="J17"/>
      <c r="K17"/>
      <c r="L17"/>
    </row>
    <row r="18" spans="1:12" x14ac:dyDescent="0.45">
      <c r="A18" s="3"/>
      <c r="B18"/>
      <c r="C18"/>
      <c r="D18"/>
      <c r="E18"/>
      <c r="F18"/>
      <c r="G18"/>
      <c r="H18"/>
      <c r="J18"/>
      <c r="K18"/>
      <c r="L18"/>
    </row>
    <row r="19" spans="1:12" x14ac:dyDescent="0.45">
      <c r="A19" s="3"/>
      <c r="B19"/>
      <c r="C19"/>
      <c r="D19"/>
      <c r="E19"/>
      <c r="F19"/>
      <c r="G19"/>
      <c r="H19"/>
      <c r="J19"/>
      <c r="K19"/>
      <c r="L19"/>
    </row>
    <row r="20" spans="1:12" x14ac:dyDescent="0.45">
      <c r="A20" s="3"/>
      <c r="B20"/>
      <c r="C20"/>
      <c r="D20"/>
      <c r="E20"/>
      <c r="F20"/>
      <c r="G20"/>
      <c r="H20"/>
      <c r="J20"/>
      <c r="K20"/>
      <c r="L20"/>
    </row>
    <row r="21" spans="1:12" x14ac:dyDescent="0.45">
      <c r="A21" s="3"/>
      <c r="B21"/>
      <c r="C21"/>
      <c r="D21"/>
      <c r="E21"/>
      <c r="F21"/>
      <c r="G21"/>
      <c r="H21"/>
      <c r="J21"/>
      <c r="K21"/>
      <c r="L21"/>
    </row>
    <row r="22" spans="1:12" x14ac:dyDescent="0.45">
      <c r="A22" s="3"/>
      <c r="B22"/>
      <c r="C22"/>
      <c r="D22"/>
      <c r="E22"/>
      <c r="F22"/>
      <c r="G22"/>
      <c r="H22"/>
      <c r="J22"/>
      <c r="K22"/>
      <c r="L22"/>
    </row>
    <row r="23" spans="1:12" x14ac:dyDescent="0.45">
      <c r="A23" s="3"/>
      <c r="B23"/>
      <c r="C23"/>
      <c r="D23"/>
      <c r="E23"/>
      <c r="F23"/>
      <c r="G23"/>
      <c r="H23"/>
      <c r="J23"/>
      <c r="K23"/>
      <c r="L23"/>
    </row>
    <row r="24" spans="1:12" x14ac:dyDescent="0.45">
      <c r="A24" s="3"/>
      <c r="B24"/>
      <c r="C24"/>
      <c r="D24"/>
      <c r="E24"/>
      <c r="F24"/>
      <c r="G24"/>
      <c r="H24"/>
      <c r="J24"/>
      <c r="K24"/>
      <c r="L24"/>
    </row>
    <row r="25" spans="1:12" x14ac:dyDescent="0.45">
      <c r="A25" s="3"/>
      <c r="B25"/>
      <c r="C25"/>
      <c r="D25"/>
      <c r="E25"/>
      <c r="F25"/>
      <c r="G25"/>
      <c r="H25"/>
      <c r="J25"/>
      <c r="K25"/>
      <c r="L25"/>
    </row>
    <row r="26" spans="1:12" x14ac:dyDescent="0.45">
      <c r="A26" s="3"/>
      <c r="B26"/>
      <c r="C26"/>
      <c r="D26"/>
      <c r="E26"/>
      <c r="F26"/>
      <c r="G26"/>
      <c r="H26"/>
      <c r="J26"/>
      <c r="K26"/>
      <c r="L26"/>
    </row>
    <row r="27" spans="1:12" x14ac:dyDescent="0.45">
      <c r="A27" s="3"/>
      <c r="B27"/>
      <c r="C27"/>
      <c r="D27"/>
      <c r="E27"/>
      <c r="F27"/>
      <c r="G27"/>
      <c r="H27"/>
      <c r="J27"/>
      <c r="K27"/>
      <c r="L27"/>
    </row>
    <row r="28" spans="1:12" x14ac:dyDescent="0.45">
      <c r="A28" s="3"/>
      <c r="B28"/>
      <c r="C28"/>
      <c r="D28"/>
      <c r="E28"/>
      <c r="F28"/>
      <c r="G28"/>
      <c r="H28"/>
      <c r="J28"/>
      <c r="K28"/>
      <c r="L28"/>
    </row>
    <row r="29" spans="1:12" x14ac:dyDescent="0.45">
      <c r="A29" s="3"/>
      <c r="B29"/>
      <c r="C29"/>
      <c r="D29"/>
      <c r="E29"/>
      <c r="F29"/>
      <c r="G29"/>
      <c r="H29"/>
      <c r="J29"/>
      <c r="K29"/>
      <c r="L29"/>
    </row>
    <row r="30" spans="1:12" x14ac:dyDescent="0.45">
      <c r="A30" s="3"/>
      <c r="B30"/>
      <c r="C30"/>
      <c r="D30"/>
      <c r="E30"/>
      <c r="F30"/>
      <c r="G30"/>
      <c r="H30"/>
      <c r="J30"/>
      <c r="K30"/>
      <c r="L30"/>
    </row>
    <row r="31" spans="1:12" x14ac:dyDescent="0.45">
      <c r="A31" s="3"/>
      <c r="B31"/>
      <c r="C31"/>
      <c r="D31"/>
      <c r="E31"/>
      <c r="F31"/>
      <c r="G31"/>
      <c r="H31"/>
      <c r="J31"/>
      <c r="K31"/>
      <c r="L31"/>
    </row>
    <row r="32" spans="1:12" x14ac:dyDescent="0.45">
      <c r="A32" s="3"/>
      <c r="B32"/>
      <c r="C32"/>
      <c r="D32"/>
      <c r="E32"/>
      <c r="F32"/>
      <c r="G32"/>
      <c r="H32"/>
      <c r="J32"/>
      <c r="K32"/>
      <c r="L32"/>
    </row>
    <row r="33" spans="1:12" x14ac:dyDescent="0.45">
      <c r="A33" s="3"/>
      <c r="B33"/>
      <c r="C33"/>
      <c r="D33"/>
      <c r="E33"/>
      <c r="F33"/>
      <c r="G33"/>
      <c r="H33"/>
      <c r="J33"/>
      <c r="K33"/>
      <c r="L33"/>
    </row>
    <row r="34" spans="1:12" x14ac:dyDescent="0.45">
      <c r="A34" s="3"/>
      <c r="B34"/>
      <c r="C34"/>
      <c r="D34"/>
      <c r="E34"/>
      <c r="F34"/>
      <c r="G34"/>
      <c r="H34"/>
      <c r="J34"/>
      <c r="K34"/>
      <c r="L34"/>
    </row>
    <row r="35" spans="1:12" x14ac:dyDescent="0.45">
      <c r="A35" s="3"/>
      <c r="B35"/>
      <c r="C35"/>
      <c r="D35"/>
      <c r="E35"/>
      <c r="F35"/>
      <c r="G35"/>
      <c r="H35"/>
      <c r="J35"/>
      <c r="K35"/>
      <c r="L35"/>
    </row>
    <row r="36" spans="1:12" x14ac:dyDescent="0.45">
      <c r="A36" s="3"/>
      <c r="B36"/>
      <c r="C36"/>
      <c r="D36"/>
      <c r="E36"/>
      <c r="F36"/>
      <c r="G36"/>
      <c r="H36"/>
      <c r="J36"/>
      <c r="K36"/>
      <c r="L36"/>
    </row>
    <row r="37" spans="1:12" x14ac:dyDescent="0.45">
      <c r="A37" s="3"/>
      <c r="B37"/>
      <c r="C37"/>
      <c r="D37"/>
      <c r="E37"/>
      <c r="F37"/>
      <c r="G37"/>
      <c r="H37"/>
      <c r="J37"/>
      <c r="K37"/>
      <c r="L37"/>
    </row>
    <row r="38" spans="1:12" x14ac:dyDescent="0.45">
      <c r="A38" s="3"/>
      <c r="B38"/>
      <c r="C38"/>
      <c r="D38"/>
      <c r="E38"/>
      <c r="F38"/>
      <c r="G38"/>
      <c r="H38"/>
      <c r="J38"/>
      <c r="K38"/>
      <c r="L38"/>
    </row>
    <row r="39" spans="1:12" x14ac:dyDescent="0.45">
      <c r="A39" s="3"/>
      <c r="B39"/>
      <c r="C39"/>
      <c r="D39"/>
      <c r="E39"/>
      <c r="F39"/>
      <c r="G39"/>
      <c r="H39"/>
      <c r="J39"/>
      <c r="K39"/>
      <c r="L39"/>
    </row>
    <row r="40" spans="1:12" x14ac:dyDescent="0.45">
      <c r="A40" s="3"/>
      <c r="B40"/>
      <c r="C40"/>
      <c r="D40"/>
      <c r="E40"/>
      <c r="F40"/>
      <c r="G40"/>
      <c r="H40"/>
      <c r="J40"/>
      <c r="K40"/>
      <c r="L40"/>
    </row>
    <row r="41" spans="1:12" x14ac:dyDescent="0.45">
      <c r="A41" s="3"/>
      <c r="B41"/>
      <c r="C41"/>
      <c r="D41"/>
      <c r="E41"/>
      <c r="F41"/>
      <c r="G41"/>
      <c r="H41"/>
      <c r="J41"/>
      <c r="K41"/>
      <c r="L41"/>
    </row>
    <row r="42" spans="1:12" x14ac:dyDescent="0.45">
      <c r="A42" s="3"/>
      <c r="B42"/>
      <c r="C42"/>
      <c r="D42"/>
      <c r="E42"/>
      <c r="F42"/>
      <c r="G42"/>
      <c r="H42"/>
      <c r="J42"/>
      <c r="K42"/>
      <c r="L42"/>
    </row>
    <row r="43" spans="1:12" x14ac:dyDescent="0.45">
      <c r="A43" s="3"/>
      <c r="B43"/>
      <c r="C43"/>
      <c r="D43"/>
      <c r="E43"/>
      <c r="F43"/>
      <c r="G43"/>
      <c r="H43"/>
      <c r="J43"/>
      <c r="K43"/>
      <c r="L43"/>
    </row>
    <row r="44" spans="1:12" x14ac:dyDescent="0.45">
      <c r="A44" s="3"/>
      <c r="B44"/>
      <c r="C44"/>
      <c r="D44"/>
      <c r="E44"/>
      <c r="F44"/>
      <c r="G44"/>
      <c r="H44"/>
      <c r="J44"/>
      <c r="K44"/>
      <c r="L44"/>
    </row>
    <row r="45" spans="1:12" x14ac:dyDescent="0.45">
      <c r="A45" s="3"/>
      <c r="B45"/>
      <c r="C45"/>
      <c r="D45"/>
      <c r="E45"/>
      <c r="F45"/>
      <c r="G45"/>
      <c r="H45"/>
      <c r="J45"/>
      <c r="K45"/>
      <c r="L45"/>
    </row>
    <row r="46" spans="1:12" x14ac:dyDescent="0.45">
      <c r="A46" s="3"/>
      <c r="B46"/>
      <c r="C46"/>
      <c r="D46"/>
      <c r="E46"/>
      <c r="F46"/>
      <c r="G46"/>
      <c r="H46"/>
      <c r="J46"/>
      <c r="K46"/>
      <c r="L46"/>
    </row>
    <row r="47" spans="1:12" x14ac:dyDescent="0.45">
      <c r="A47" s="3"/>
      <c r="B47"/>
      <c r="C47"/>
      <c r="D47"/>
      <c r="E47"/>
      <c r="F47"/>
      <c r="G47"/>
      <c r="H47"/>
      <c r="J47"/>
      <c r="K47"/>
      <c r="L47"/>
    </row>
    <row r="48" spans="1:12" x14ac:dyDescent="0.45">
      <c r="A48" s="3"/>
      <c r="B48"/>
      <c r="C48"/>
      <c r="D48"/>
      <c r="E48"/>
      <c r="F48"/>
      <c r="G48"/>
      <c r="H48"/>
      <c r="J48"/>
      <c r="K48"/>
      <c r="L48"/>
    </row>
    <row r="49" spans="1:12" x14ac:dyDescent="0.45">
      <c r="A49" s="3"/>
      <c r="B49"/>
      <c r="C49"/>
      <c r="D49"/>
      <c r="E49"/>
      <c r="F49"/>
      <c r="G49"/>
      <c r="H49"/>
      <c r="J49"/>
      <c r="K49"/>
      <c r="L49"/>
    </row>
    <row r="50" spans="1:12" x14ac:dyDescent="0.45">
      <c r="A50" s="3"/>
      <c r="B50"/>
      <c r="C50"/>
      <c r="D50"/>
      <c r="E50"/>
      <c r="F50"/>
      <c r="G50"/>
      <c r="H50"/>
      <c r="J50"/>
      <c r="K50"/>
      <c r="L50"/>
    </row>
    <row r="51" spans="1:12" x14ac:dyDescent="0.45">
      <c r="A51" s="3"/>
      <c r="B51"/>
      <c r="C51"/>
      <c r="D51"/>
      <c r="E51"/>
      <c r="F51"/>
      <c r="G51"/>
      <c r="H51"/>
      <c r="J51"/>
      <c r="K51"/>
      <c r="L51"/>
    </row>
    <row r="52" spans="1:12" x14ac:dyDescent="0.45">
      <c r="A52" s="3"/>
      <c r="B52"/>
      <c r="C52"/>
      <c r="D52"/>
      <c r="E52"/>
      <c r="F52"/>
      <c r="G52"/>
      <c r="H52"/>
      <c r="J52"/>
      <c r="K52"/>
      <c r="L52"/>
    </row>
    <row r="53" spans="1:12" x14ac:dyDescent="0.45">
      <c r="A53" s="3"/>
      <c r="B53"/>
      <c r="C53"/>
      <c r="D53"/>
      <c r="E53"/>
      <c r="F53"/>
      <c r="G53"/>
      <c r="H53"/>
      <c r="J53"/>
      <c r="K53"/>
      <c r="L53"/>
    </row>
    <row r="54" spans="1:12" x14ac:dyDescent="0.45">
      <c r="A54" s="3"/>
      <c r="B54"/>
      <c r="C54"/>
      <c r="D54"/>
      <c r="E54"/>
      <c r="F54"/>
      <c r="G54"/>
      <c r="H54"/>
      <c r="J54"/>
      <c r="K54"/>
      <c r="L54"/>
    </row>
    <row r="55" spans="1:12" x14ac:dyDescent="0.45">
      <c r="A55" s="3"/>
      <c r="B55"/>
      <c r="C55"/>
      <c r="D55"/>
      <c r="E55"/>
      <c r="F55"/>
      <c r="G55"/>
      <c r="H55"/>
      <c r="J55"/>
      <c r="K55"/>
      <c r="L55"/>
    </row>
    <row r="56" spans="1:12" x14ac:dyDescent="0.45">
      <c r="A56" s="3"/>
      <c r="B56"/>
      <c r="C56"/>
      <c r="D56"/>
      <c r="E56"/>
      <c r="F56"/>
      <c r="G56"/>
      <c r="H56"/>
      <c r="J56"/>
      <c r="K56"/>
      <c r="L56"/>
    </row>
    <row r="57" spans="1:12" x14ac:dyDescent="0.45">
      <c r="A57" s="3"/>
      <c r="B57"/>
      <c r="C57"/>
      <c r="D57"/>
      <c r="E57"/>
      <c r="F57"/>
      <c r="G57"/>
      <c r="H57"/>
      <c r="J57"/>
      <c r="K57"/>
      <c r="L57"/>
    </row>
    <row r="58" spans="1:12" x14ac:dyDescent="0.45">
      <c r="A58" s="3"/>
      <c r="B58"/>
      <c r="C58"/>
      <c r="D58"/>
      <c r="E58"/>
      <c r="F58"/>
      <c r="G58"/>
      <c r="H58"/>
      <c r="J58"/>
      <c r="K58"/>
      <c r="L58"/>
    </row>
    <row r="59" spans="1:12" x14ac:dyDescent="0.45">
      <c r="A59" s="3"/>
      <c r="B59"/>
      <c r="C59"/>
      <c r="D59"/>
      <c r="E59"/>
      <c r="F59"/>
      <c r="G59"/>
      <c r="H59"/>
      <c r="J59"/>
      <c r="K59"/>
      <c r="L59"/>
    </row>
    <row r="60" spans="1:12" x14ac:dyDescent="0.45">
      <c r="A60" s="3"/>
      <c r="B60"/>
      <c r="C60"/>
      <c r="D60"/>
      <c r="E60"/>
      <c r="F60"/>
      <c r="G60"/>
      <c r="H60"/>
      <c r="J60"/>
      <c r="K60"/>
      <c r="L60"/>
    </row>
    <row r="61" spans="1:12" x14ac:dyDescent="0.45">
      <c r="A61" s="3"/>
      <c r="B61"/>
      <c r="C61"/>
      <c r="D61"/>
      <c r="E61"/>
      <c r="F61"/>
      <c r="G61"/>
      <c r="H61"/>
      <c r="J61"/>
      <c r="K61"/>
      <c r="L61"/>
    </row>
    <row r="62" spans="1:12" x14ac:dyDescent="0.45">
      <c r="A62" s="3"/>
      <c r="B62"/>
      <c r="C62"/>
      <c r="D62"/>
      <c r="E62"/>
      <c r="F62"/>
      <c r="G62"/>
      <c r="H62"/>
      <c r="J62"/>
      <c r="K62"/>
      <c r="L62"/>
    </row>
    <row r="63" spans="1:12" x14ac:dyDescent="0.45">
      <c r="A63" s="3"/>
      <c r="B63"/>
      <c r="C63"/>
      <c r="D63"/>
      <c r="E63"/>
      <c r="F63"/>
      <c r="G63"/>
      <c r="H63"/>
      <c r="J63"/>
      <c r="K63"/>
      <c r="L63"/>
    </row>
    <row r="64" spans="1:12" x14ac:dyDescent="0.45">
      <c r="A64" s="3"/>
      <c r="B64"/>
      <c r="C64"/>
      <c r="D64"/>
      <c r="E64"/>
      <c r="F64"/>
      <c r="G64"/>
      <c r="H64"/>
      <c r="J64"/>
      <c r="K64"/>
      <c r="L64"/>
    </row>
    <row r="65" spans="1:12" x14ac:dyDescent="0.45">
      <c r="A65" s="3"/>
      <c r="B65"/>
      <c r="C65"/>
      <c r="D65"/>
      <c r="E65"/>
      <c r="F65"/>
      <c r="G65"/>
      <c r="H65"/>
      <c r="J65"/>
      <c r="K65"/>
      <c r="L65"/>
    </row>
    <row r="66" spans="1:12" x14ac:dyDescent="0.45">
      <c r="A66" s="3"/>
      <c r="B66"/>
      <c r="C66"/>
      <c r="D66"/>
      <c r="E66"/>
      <c r="F66"/>
      <c r="G66"/>
      <c r="H66"/>
      <c r="J66"/>
      <c r="K66"/>
      <c r="L66"/>
    </row>
    <row r="67" spans="1:12" x14ac:dyDescent="0.45">
      <c r="A67" s="3"/>
      <c r="B67"/>
      <c r="C67"/>
      <c r="D67"/>
      <c r="E67"/>
      <c r="F67"/>
      <c r="G67"/>
      <c r="H67"/>
      <c r="J67"/>
      <c r="K67"/>
      <c r="L67"/>
    </row>
    <row r="68" spans="1:12" x14ac:dyDescent="0.45">
      <c r="A68" s="3"/>
      <c r="B68"/>
      <c r="C68"/>
      <c r="D68"/>
      <c r="E68"/>
      <c r="F68"/>
      <c r="G68"/>
      <c r="H68"/>
      <c r="J68"/>
      <c r="K68"/>
      <c r="L68"/>
    </row>
    <row r="69" spans="1:12" x14ac:dyDescent="0.45">
      <c r="A69" s="3"/>
      <c r="B69"/>
      <c r="C69"/>
      <c r="D69"/>
      <c r="E69"/>
      <c r="F69"/>
      <c r="G69"/>
      <c r="H69"/>
      <c r="J69"/>
      <c r="K69"/>
      <c r="L69"/>
    </row>
    <row r="70" spans="1:12" x14ac:dyDescent="0.45">
      <c r="A70" s="3"/>
      <c r="B70"/>
      <c r="C70"/>
      <c r="D70"/>
      <c r="E70"/>
      <c r="F70"/>
      <c r="G70"/>
      <c r="H70"/>
      <c r="J70"/>
      <c r="K70"/>
      <c r="L70"/>
    </row>
    <row r="71" spans="1:12" x14ac:dyDescent="0.45">
      <c r="A71" s="3"/>
      <c r="B71"/>
      <c r="C71"/>
      <c r="D71"/>
      <c r="E71"/>
      <c r="F71"/>
      <c r="G71"/>
      <c r="H71"/>
      <c r="J71"/>
      <c r="K71"/>
      <c r="L71"/>
    </row>
    <row r="72" spans="1:12" x14ac:dyDescent="0.45">
      <c r="A72" s="3"/>
      <c r="B72"/>
      <c r="C72"/>
      <c r="D72"/>
      <c r="E72"/>
      <c r="F72"/>
      <c r="G72"/>
      <c r="H72"/>
      <c r="J72"/>
      <c r="K72"/>
      <c r="L72"/>
    </row>
    <row r="73" spans="1:12" x14ac:dyDescent="0.45">
      <c r="A73" s="3"/>
      <c r="B73"/>
      <c r="C73"/>
      <c r="D73"/>
      <c r="E73"/>
      <c r="F73"/>
      <c r="G73"/>
      <c r="H73"/>
      <c r="J73"/>
      <c r="K73"/>
      <c r="L73"/>
    </row>
    <row r="74" spans="1:12" x14ac:dyDescent="0.45">
      <c r="A74" s="3"/>
      <c r="B74"/>
      <c r="C74"/>
      <c r="D74"/>
      <c r="E74"/>
      <c r="F74"/>
      <c r="G74"/>
      <c r="H74"/>
      <c r="J74"/>
      <c r="K74"/>
      <c r="L74"/>
    </row>
    <row r="75" spans="1:12" x14ac:dyDescent="0.45">
      <c r="A75" s="3"/>
      <c r="B75"/>
      <c r="C75"/>
      <c r="D75"/>
      <c r="E75"/>
      <c r="F75"/>
      <c r="G75"/>
      <c r="H75"/>
      <c r="J75"/>
      <c r="K75"/>
      <c r="L75"/>
    </row>
    <row r="76" spans="1:12" x14ac:dyDescent="0.45">
      <c r="A76" s="3"/>
      <c r="B76"/>
      <c r="C76"/>
      <c r="D76"/>
      <c r="E76"/>
      <c r="F76"/>
      <c r="G76"/>
      <c r="H76"/>
      <c r="J76"/>
      <c r="K76"/>
      <c r="L76"/>
    </row>
    <row r="77" spans="1:12" x14ac:dyDescent="0.45">
      <c r="A77" s="3"/>
      <c r="B77"/>
      <c r="C77"/>
      <c r="D77"/>
      <c r="E77"/>
      <c r="F77"/>
      <c r="G77"/>
      <c r="H77"/>
      <c r="J77"/>
      <c r="K77"/>
      <c r="L77"/>
    </row>
    <row r="78" spans="1:12" x14ac:dyDescent="0.45">
      <c r="A78" s="3"/>
      <c r="B78"/>
      <c r="C78"/>
      <c r="D78"/>
      <c r="E78"/>
      <c r="F78"/>
      <c r="G78"/>
      <c r="H78"/>
      <c r="J78"/>
      <c r="K78"/>
      <c r="L78"/>
    </row>
    <row r="79" spans="1:12" x14ac:dyDescent="0.45">
      <c r="A79" s="3"/>
      <c r="B79"/>
      <c r="C79"/>
      <c r="D79"/>
      <c r="E79"/>
      <c r="F79"/>
      <c r="G79"/>
      <c r="H79"/>
      <c r="J79"/>
      <c r="K79"/>
      <c r="L79"/>
    </row>
    <row r="80" spans="1:12" x14ac:dyDescent="0.45">
      <c r="A80" s="3"/>
      <c r="B80"/>
      <c r="C80"/>
      <c r="D80"/>
      <c r="E80"/>
      <c r="F80"/>
      <c r="G80"/>
      <c r="H80"/>
      <c r="J80"/>
      <c r="K80"/>
      <c r="L80"/>
    </row>
    <row r="81" spans="1:12" x14ac:dyDescent="0.45">
      <c r="A81" s="3"/>
      <c r="B81"/>
      <c r="C81"/>
      <c r="D81"/>
      <c r="E81"/>
      <c r="F81"/>
      <c r="G81"/>
      <c r="H81"/>
      <c r="J81"/>
      <c r="K81"/>
      <c r="L81"/>
    </row>
    <row r="82" spans="1:12" x14ac:dyDescent="0.45">
      <c r="A82" s="3"/>
      <c r="B82"/>
      <c r="C82"/>
      <c r="D82"/>
      <c r="E82"/>
      <c r="F82"/>
      <c r="G82"/>
      <c r="H82"/>
      <c r="J82"/>
      <c r="K82"/>
      <c r="L82"/>
    </row>
    <row r="83" spans="1:12" x14ac:dyDescent="0.45">
      <c r="A83" s="3"/>
      <c r="B83"/>
      <c r="C83"/>
      <c r="D83"/>
      <c r="E83"/>
      <c r="F83"/>
      <c r="G83"/>
      <c r="H83"/>
      <c r="J83"/>
      <c r="K83"/>
      <c r="L83"/>
    </row>
    <row r="84" spans="1:12" x14ac:dyDescent="0.45">
      <c r="A84" s="3"/>
      <c r="B84"/>
      <c r="C84"/>
      <c r="D84"/>
      <c r="E84"/>
      <c r="F84"/>
      <c r="G84"/>
      <c r="H84"/>
      <c r="J84"/>
      <c r="K84"/>
      <c r="L84"/>
    </row>
    <row r="85" spans="1:12" x14ac:dyDescent="0.45">
      <c r="A85" s="3"/>
      <c r="B85"/>
      <c r="C85"/>
      <c r="D85"/>
      <c r="E85"/>
      <c r="F85"/>
      <c r="G85"/>
      <c r="H85"/>
      <c r="J85"/>
      <c r="K85"/>
      <c r="L85"/>
    </row>
    <row r="86" spans="1:12" x14ac:dyDescent="0.45">
      <c r="A86" s="3"/>
      <c r="B86"/>
      <c r="C86"/>
      <c r="D86"/>
      <c r="E86"/>
      <c r="F86"/>
      <c r="G86"/>
      <c r="H86"/>
      <c r="J86"/>
      <c r="K86"/>
      <c r="L86"/>
    </row>
    <row r="87" spans="1:12" x14ac:dyDescent="0.45">
      <c r="A87" s="20"/>
      <c r="C87" s="25"/>
    </row>
    <row r="88" spans="1:12" x14ac:dyDescent="0.45">
      <c r="A88" s="20"/>
      <c r="C88" s="25"/>
    </row>
    <row r="89" spans="1:12" x14ac:dyDescent="0.45">
      <c r="A89" s="20"/>
      <c r="C89" s="25"/>
    </row>
    <row r="90" spans="1:12" x14ac:dyDescent="0.45">
      <c r="A90" s="20"/>
      <c r="C90" s="25"/>
    </row>
    <row r="91" spans="1:12" x14ac:dyDescent="0.45">
      <c r="A91" s="20"/>
      <c r="C91" s="25"/>
    </row>
    <row r="92" spans="1:12" x14ac:dyDescent="0.45">
      <c r="A92" s="20"/>
      <c r="C92" s="25"/>
    </row>
    <row r="93" spans="1:12" x14ac:dyDescent="0.45">
      <c r="A93" s="20"/>
      <c r="C93" s="25"/>
    </row>
    <row r="94" spans="1:12" x14ac:dyDescent="0.45">
      <c r="A94" s="20"/>
      <c r="C94" s="25"/>
    </row>
    <row r="95" spans="1:12" x14ac:dyDescent="0.45">
      <c r="A95" s="20"/>
      <c r="C95" s="25"/>
    </row>
    <row r="96" spans="1:12" x14ac:dyDescent="0.45">
      <c r="A96" s="20"/>
      <c r="C96" s="25"/>
    </row>
    <row r="97" spans="1:3" x14ac:dyDescent="0.45">
      <c r="A97" s="20"/>
      <c r="C97" s="25"/>
    </row>
    <row r="98" spans="1:3" x14ac:dyDescent="0.45">
      <c r="A98" s="20"/>
      <c r="C98" s="25"/>
    </row>
    <row r="99" spans="1:3" x14ac:dyDescent="0.45">
      <c r="A99" s="20"/>
      <c r="C99" s="25"/>
    </row>
    <row r="100" spans="1:3" x14ac:dyDescent="0.45">
      <c r="A100" s="20"/>
      <c r="C100" s="25"/>
    </row>
    <row r="101" spans="1:3" x14ac:dyDescent="0.45">
      <c r="A101" s="20"/>
      <c r="C101" s="25"/>
    </row>
    <row r="102" spans="1:3" x14ac:dyDescent="0.45">
      <c r="A102" s="20"/>
      <c r="C102" s="25"/>
    </row>
    <row r="103" spans="1:3" x14ac:dyDescent="0.45">
      <c r="A103" s="20"/>
      <c r="C103" s="25"/>
    </row>
    <row r="104" spans="1:3" x14ac:dyDescent="0.45">
      <c r="A104" s="20"/>
      <c r="C104" s="25"/>
    </row>
    <row r="105" spans="1:3" x14ac:dyDescent="0.45">
      <c r="A105" s="20"/>
      <c r="C105" s="25"/>
    </row>
    <row r="106" spans="1:3" x14ac:dyDescent="0.45">
      <c r="A106" s="20"/>
      <c r="C106" s="25"/>
    </row>
    <row r="107" spans="1:3" x14ac:dyDescent="0.45">
      <c r="A107" s="20"/>
      <c r="C107" s="25"/>
    </row>
    <row r="108" spans="1:3" x14ac:dyDescent="0.45">
      <c r="A108" s="20"/>
      <c r="C108" s="25"/>
    </row>
    <row r="109" spans="1:3" x14ac:dyDescent="0.45">
      <c r="A109" s="20"/>
      <c r="C109" s="25"/>
    </row>
    <row r="110" spans="1:3" x14ac:dyDescent="0.45">
      <c r="A110" s="20"/>
      <c r="C110" s="25"/>
    </row>
    <row r="111" spans="1:3" x14ac:dyDescent="0.45">
      <c r="A111" s="20"/>
      <c r="C111" s="25"/>
    </row>
    <row r="112" spans="1:3" x14ac:dyDescent="0.45">
      <c r="A112" s="20"/>
      <c r="C112" s="25"/>
    </row>
    <row r="113" spans="1:3" x14ac:dyDescent="0.45">
      <c r="A113" s="20"/>
      <c r="C113" s="25"/>
    </row>
    <row r="114" spans="1:3" x14ac:dyDescent="0.45">
      <c r="A114" s="20"/>
      <c r="C114" s="25"/>
    </row>
    <row r="115" spans="1:3" x14ac:dyDescent="0.45">
      <c r="A115" s="20"/>
      <c r="C115" s="25"/>
    </row>
    <row r="116" spans="1:3" x14ac:dyDescent="0.45">
      <c r="A116" s="20"/>
      <c r="C116" s="25"/>
    </row>
    <row r="117" spans="1:3" x14ac:dyDescent="0.45">
      <c r="A117" s="20"/>
      <c r="C117" s="25"/>
    </row>
    <row r="118" spans="1:3" x14ac:dyDescent="0.45">
      <c r="A118" s="20"/>
      <c r="C118" s="25"/>
    </row>
    <row r="119" spans="1:3" x14ac:dyDescent="0.45">
      <c r="A119" s="20"/>
      <c r="C119" s="25"/>
    </row>
    <row r="120" spans="1:3" x14ac:dyDescent="0.45">
      <c r="A120" s="20"/>
      <c r="C120" s="25"/>
    </row>
    <row r="121" spans="1:3" x14ac:dyDescent="0.45">
      <c r="A121" s="20"/>
      <c r="C121" s="25"/>
    </row>
    <row r="122" spans="1:3" x14ac:dyDescent="0.45">
      <c r="A122" s="20"/>
      <c r="C122" s="25"/>
    </row>
    <row r="123" spans="1:3" x14ac:dyDescent="0.45">
      <c r="A123" s="20"/>
      <c r="C123" s="25"/>
    </row>
    <row r="124" spans="1:3" x14ac:dyDescent="0.45">
      <c r="A124" s="20"/>
      <c r="C124" s="25"/>
    </row>
    <row r="125" spans="1:3" x14ac:dyDescent="0.45">
      <c r="A125" s="20"/>
      <c r="C125" s="25"/>
    </row>
    <row r="126" spans="1:3" x14ac:dyDescent="0.45">
      <c r="A126" s="20"/>
      <c r="C126" s="25"/>
    </row>
    <row r="127" spans="1:3" x14ac:dyDescent="0.45">
      <c r="A127" s="20"/>
      <c r="C127" s="25"/>
    </row>
    <row r="128" spans="1:3" x14ac:dyDescent="0.45">
      <c r="A128" s="21"/>
      <c r="C128" s="25"/>
    </row>
    <row r="129" spans="1:3" x14ac:dyDescent="0.45">
      <c r="A129" s="21"/>
      <c r="C129" s="25"/>
    </row>
    <row r="130" spans="1:3" x14ac:dyDescent="0.45">
      <c r="A130" s="21"/>
      <c r="C130" s="25"/>
    </row>
    <row r="131" spans="1:3" x14ac:dyDescent="0.45">
      <c r="A131" s="21"/>
      <c r="C131" s="25"/>
    </row>
    <row r="132" spans="1:3" x14ac:dyDescent="0.45">
      <c r="A132" s="21"/>
      <c r="C132" s="25"/>
    </row>
    <row r="133" spans="1:3" x14ac:dyDescent="0.45">
      <c r="A133" s="21"/>
      <c r="C133" s="25"/>
    </row>
    <row r="134" spans="1:3" x14ac:dyDescent="0.45">
      <c r="A134" s="21"/>
      <c r="C134" s="25"/>
    </row>
    <row r="135" spans="1:3" x14ac:dyDescent="0.45">
      <c r="A135" s="21"/>
      <c r="C135" s="25"/>
    </row>
    <row r="136" spans="1:3" x14ac:dyDescent="0.45">
      <c r="A136" s="21"/>
      <c r="C136" s="25"/>
    </row>
    <row r="137" spans="1:3" x14ac:dyDescent="0.45">
      <c r="A137" s="21"/>
      <c r="C137" s="25"/>
    </row>
    <row r="138" spans="1:3" x14ac:dyDescent="0.45">
      <c r="A138" s="21"/>
      <c r="C138" s="25"/>
    </row>
    <row r="139" spans="1:3" x14ac:dyDescent="0.45">
      <c r="A139" s="21"/>
      <c r="C139" s="25"/>
    </row>
    <row r="140" spans="1:3" x14ac:dyDescent="0.45">
      <c r="A140" s="21"/>
      <c r="C140" s="25"/>
    </row>
    <row r="141" spans="1:3" x14ac:dyDescent="0.45">
      <c r="A141" s="21"/>
      <c r="C141" s="25"/>
    </row>
    <row r="142" spans="1:3" x14ac:dyDescent="0.45">
      <c r="A142" s="21"/>
      <c r="C142" s="25"/>
    </row>
    <row r="143" spans="1:3" x14ac:dyDescent="0.45">
      <c r="A143" s="21"/>
      <c r="C143" s="25"/>
    </row>
    <row r="144" spans="1:3" x14ac:dyDescent="0.45">
      <c r="A144" s="21"/>
      <c r="C144" s="25"/>
    </row>
    <row r="145" spans="1:3" x14ac:dyDescent="0.45">
      <c r="A145" s="21"/>
      <c r="C145" s="25"/>
    </row>
    <row r="146" spans="1:3" x14ac:dyDescent="0.45">
      <c r="A146" s="21"/>
      <c r="C146" s="25"/>
    </row>
    <row r="147" spans="1:3" x14ac:dyDescent="0.45">
      <c r="A147" s="21"/>
      <c r="C147" s="25"/>
    </row>
    <row r="148" spans="1:3" x14ac:dyDescent="0.45">
      <c r="A148" s="21"/>
      <c r="C148" s="25"/>
    </row>
    <row r="149" spans="1:3" x14ac:dyDescent="0.45">
      <c r="A149" s="21"/>
      <c r="C149" s="25"/>
    </row>
    <row r="150" spans="1:3" x14ac:dyDescent="0.45">
      <c r="A150" s="21"/>
      <c r="C150" s="25"/>
    </row>
    <row r="151" spans="1:3" x14ac:dyDescent="0.45">
      <c r="A151" s="21"/>
      <c r="C151" s="25"/>
    </row>
    <row r="152" spans="1:3" x14ac:dyDescent="0.45">
      <c r="A152" s="21"/>
      <c r="C152" s="25"/>
    </row>
    <row r="153" spans="1:3" x14ac:dyDescent="0.45">
      <c r="A153" s="21"/>
      <c r="C153" s="25"/>
    </row>
    <row r="154" spans="1:3" x14ac:dyDescent="0.45">
      <c r="A154" s="21"/>
      <c r="C154" s="25"/>
    </row>
    <row r="155" spans="1:3" x14ac:dyDescent="0.45">
      <c r="A155" s="21"/>
      <c r="C155" s="25"/>
    </row>
    <row r="156" spans="1:3" x14ac:dyDescent="0.45">
      <c r="A156" s="21"/>
      <c r="C156" s="25"/>
    </row>
    <row r="157" spans="1:3" x14ac:dyDescent="0.45">
      <c r="A157" s="21"/>
      <c r="C157" s="25"/>
    </row>
    <row r="158" spans="1:3" x14ac:dyDescent="0.45">
      <c r="A158" s="21"/>
      <c r="C158" s="25"/>
    </row>
    <row r="159" spans="1:3" x14ac:dyDescent="0.45">
      <c r="A159" s="21"/>
      <c r="C159" s="25"/>
    </row>
    <row r="160" spans="1:3" x14ac:dyDescent="0.45">
      <c r="A160" s="21"/>
      <c r="C160" s="25"/>
    </row>
    <row r="161" spans="1:3" x14ac:dyDescent="0.45">
      <c r="A161" s="21"/>
      <c r="C161" s="25"/>
    </row>
    <row r="162" spans="1:3" x14ac:dyDescent="0.45">
      <c r="A162" s="21"/>
      <c r="C162" s="25"/>
    </row>
    <row r="163" spans="1:3" x14ac:dyDescent="0.45">
      <c r="A163" s="21"/>
      <c r="C163" s="25"/>
    </row>
    <row r="164" spans="1:3" x14ac:dyDescent="0.45">
      <c r="A164" s="21"/>
      <c r="C164" s="25"/>
    </row>
    <row r="165" spans="1:3" x14ac:dyDescent="0.45">
      <c r="A165" s="21"/>
      <c r="C165" s="25"/>
    </row>
    <row r="166" spans="1:3" x14ac:dyDescent="0.45">
      <c r="A166" s="21"/>
      <c r="C166" s="25"/>
    </row>
    <row r="167" spans="1:3" x14ac:dyDescent="0.45">
      <c r="A167" s="21"/>
      <c r="C167" s="25"/>
    </row>
    <row r="168" spans="1:3" x14ac:dyDescent="0.45">
      <c r="A168" s="21"/>
      <c r="C168" s="25"/>
    </row>
    <row r="169" spans="1:3" x14ac:dyDescent="0.45">
      <c r="A169" s="21"/>
      <c r="C169" s="25"/>
    </row>
    <row r="170" spans="1:3" x14ac:dyDescent="0.45">
      <c r="A170" s="21"/>
      <c r="C170" s="25"/>
    </row>
    <row r="171" spans="1:3" x14ac:dyDescent="0.45">
      <c r="A171" s="21"/>
      <c r="C171" s="25"/>
    </row>
    <row r="172" spans="1:3" x14ac:dyDescent="0.45">
      <c r="A172" s="21"/>
      <c r="C172" s="25"/>
    </row>
    <row r="173" spans="1:3" x14ac:dyDescent="0.45">
      <c r="A173" s="21"/>
      <c r="C173" s="25"/>
    </row>
    <row r="174" spans="1:3" x14ac:dyDescent="0.45">
      <c r="A174" s="21"/>
      <c r="C174" s="25"/>
    </row>
    <row r="175" spans="1:3" x14ac:dyDescent="0.45">
      <c r="A175" s="21"/>
      <c r="C175" s="25"/>
    </row>
    <row r="176" spans="1:3" x14ac:dyDescent="0.45">
      <c r="A176" s="21"/>
      <c r="C176" s="25"/>
    </row>
    <row r="177" spans="1:3" x14ac:dyDescent="0.45">
      <c r="A177" s="21"/>
      <c r="C177" s="25"/>
    </row>
    <row r="178" spans="1:3" x14ac:dyDescent="0.45">
      <c r="A178" s="21"/>
      <c r="C178" s="25"/>
    </row>
    <row r="179" spans="1:3" x14ac:dyDescent="0.45">
      <c r="A179" s="21"/>
      <c r="C179" s="25"/>
    </row>
    <row r="180" spans="1:3" x14ac:dyDescent="0.45">
      <c r="A180" s="21"/>
      <c r="C180" s="25"/>
    </row>
    <row r="181" spans="1:3" x14ac:dyDescent="0.45">
      <c r="A181" s="21"/>
      <c r="C181" s="25"/>
    </row>
    <row r="182" spans="1:3" x14ac:dyDescent="0.45">
      <c r="A182" s="21"/>
      <c r="C182" s="25"/>
    </row>
    <row r="183" spans="1:3" x14ac:dyDescent="0.45">
      <c r="A183" s="21"/>
      <c r="C183" s="25"/>
    </row>
    <row r="184" spans="1:3" x14ac:dyDescent="0.45">
      <c r="A184" s="21"/>
      <c r="C184" s="25"/>
    </row>
    <row r="185" spans="1:3" x14ac:dyDescent="0.45">
      <c r="A185" s="21"/>
      <c r="C185" s="25"/>
    </row>
    <row r="186" spans="1:3" x14ac:dyDescent="0.45">
      <c r="A186" s="21"/>
      <c r="C186" s="25"/>
    </row>
    <row r="187" spans="1:3" x14ac:dyDescent="0.45">
      <c r="A187" s="21"/>
      <c r="C187" s="25"/>
    </row>
    <row r="188" spans="1:3" x14ac:dyDescent="0.45">
      <c r="A188" s="21"/>
      <c r="C188" s="25"/>
    </row>
    <row r="189" spans="1:3" x14ac:dyDescent="0.45">
      <c r="A189" s="21"/>
      <c r="C189" s="25"/>
    </row>
    <row r="190" spans="1:3" x14ac:dyDescent="0.45">
      <c r="A190" s="21"/>
      <c r="C190" s="25"/>
    </row>
    <row r="191" spans="1:3" x14ac:dyDescent="0.45">
      <c r="A191" s="21"/>
      <c r="C191" s="25"/>
    </row>
    <row r="192" spans="1:3" x14ac:dyDescent="0.45">
      <c r="A192" s="21"/>
      <c r="C192" s="25"/>
    </row>
    <row r="193" spans="1:3" x14ac:dyDescent="0.45">
      <c r="A193" s="21"/>
      <c r="C193" s="25"/>
    </row>
    <row r="194" spans="1:3" x14ac:dyDescent="0.45">
      <c r="A194" s="21"/>
      <c r="C194" s="25"/>
    </row>
    <row r="195" spans="1:3" x14ac:dyDescent="0.45">
      <c r="A195" s="21"/>
      <c r="C195" s="25"/>
    </row>
    <row r="196" spans="1:3" x14ac:dyDescent="0.45">
      <c r="A196" s="21"/>
      <c r="C196" s="25"/>
    </row>
    <row r="197" spans="1:3" x14ac:dyDescent="0.45">
      <c r="A197" s="21"/>
      <c r="C197" s="25"/>
    </row>
    <row r="198" spans="1:3" x14ac:dyDescent="0.45">
      <c r="A198" s="21"/>
      <c r="C198" s="25"/>
    </row>
    <row r="199" spans="1:3" x14ac:dyDescent="0.45">
      <c r="A199" s="21"/>
      <c r="C199" s="25"/>
    </row>
    <row r="200" spans="1:3" x14ac:dyDescent="0.45">
      <c r="A200" s="21"/>
      <c r="C200" s="25"/>
    </row>
    <row r="201" spans="1:3" x14ac:dyDescent="0.45">
      <c r="A201" s="21"/>
      <c r="C201" s="25"/>
    </row>
    <row r="202" spans="1:3" x14ac:dyDescent="0.45">
      <c r="A202" s="21"/>
      <c r="C202" s="25"/>
    </row>
    <row r="203" spans="1:3" x14ac:dyDescent="0.45">
      <c r="A203" s="21"/>
      <c r="C203" s="25"/>
    </row>
    <row r="204" spans="1:3" x14ac:dyDescent="0.45">
      <c r="A204" s="21"/>
      <c r="C204" s="25"/>
    </row>
    <row r="205" spans="1:3" x14ac:dyDescent="0.45">
      <c r="A205" s="21"/>
      <c r="C205" s="25"/>
    </row>
    <row r="206" spans="1:3" x14ac:dyDescent="0.45">
      <c r="A206" s="21"/>
      <c r="C206" s="25"/>
    </row>
    <row r="207" spans="1:3" x14ac:dyDescent="0.45">
      <c r="A207" s="21"/>
      <c r="C207" s="25"/>
    </row>
    <row r="208" spans="1:3" x14ac:dyDescent="0.45">
      <c r="A208" s="21"/>
      <c r="C208" s="25"/>
    </row>
    <row r="209" spans="1:3" x14ac:dyDescent="0.45">
      <c r="A209" s="21"/>
      <c r="C209" s="25"/>
    </row>
    <row r="210" spans="1:3" x14ac:dyDescent="0.45">
      <c r="A210" s="21"/>
      <c r="C210" s="25"/>
    </row>
    <row r="211" spans="1:3" x14ac:dyDescent="0.45">
      <c r="A211" s="21"/>
      <c r="C211" s="25"/>
    </row>
    <row r="212" spans="1:3" x14ac:dyDescent="0.45">
      <c r="A212" s="21"/>
      <c r="C212" s="25"/>
    </row>
    <row r="213" spans="1:3" x14ac:dyDescent="0.45">
      <c r="A213" s="21"/>
      <c r="C213" s="25"/>
    </row>
    <row r="214" spans="1:3" x14ac:dyDescent="0.45">
      <c r="A214" s="21"/>
      <c r="C214" s="25"/>
    </row>
    <row r="215" spans="1:3" x14ac:dyDescent="0.45">
      <c r="A215" s="21"/>
      <c r="C215" s="25"/>
    </row>
    <row r="216" spans="1:3" x14ac:dyDescent="0.45">
      <c r="A216" s="21"/>
      <c r="C216" s="25"/>
    </row>
    <row r="217" spans="1:3" x14ac:dyDescent="0.45">
      <c r="A217" s="21"/>
      <c r="C217" s="25"/>
    </row>
    <row r="218" spans="1:3" x14ac:dyDescent="0.45">
      <c r="A218" s="21"/>
      <c r="C218" s="25"/>
    </row>
    <row r="219" spans="1:3" x14ac:dyDescent="0.45">
      <c r="A219" s="21"/>
      <c r="C219" s="25"/>
    </row>
    <row r="220" spans="1:3" x14ac:dyDescent="0.45">
      <c r="A220" s="21"/>
      <c r="C220" s="25"/>
    </row>
    <row r="221" spans="1:3" x14ac:dyDescent="0.45">
      <c r="A221" s="21"/>
      <c r="C221" s="25"/>
    </row>
    <row r="222" spans="1:3" x14ac:dyDescent="0.45">
      <c r="A222" s="21"/>
      <c r="C222" s="25"/>
    </row>
    <row r="223" spans="1:3" x14ac:dyDescent="0.45">
      <c r="A223" s="21"/>
      <c r="C223" s="25"/>
    </row>
    <row r="224" spans="1:3" x14ac:dyDescent="0.45">
      <c r="A224" s="21"/>
      <c r="C224" s="25"/>
    </row>
    <row r="225" spans="1:3" x14ac:dyDescent="0.45">
      <c r="A225" s="21"/>
      <c r="C225" s="25"/>
    </row>
    <row r="226" spans="1:3" x14ac:dyDescent="0.45">
      <c r="A226" s="21"/>
      <c r="C226" s="25"/>
    </row>
    <row r="227" spans="1:3" x14ac:dyDescent="0.45">
      <c r="A227" s="21"/>
      <c r="C227" s="25"/>
    </row>
    <row r="228" spans="1:3" x14ac:dyDescent="0.45">
      <c r="A228" s="21"/>
      <c r="C228" s="25"/>
    </row>
    <row r="229" spans="1:3" x14ac:dyDescent="0.45">
      <c r="A229" s="21"/>
      <c r="C229" s="25"/>
    </row>
    <row r="230" spans="1:3" x14ac:dyDescent="0.45">
      <c r="A230" s="21"/>
      <c r="C230" s="25"/>
    </row>
    <row r="231" spans="1:3" x14ac:dyDescent="0.45">
      <c r="A231" s="21"/>
      <c r="C231" s="25"/>
    </row>
    <row r="232" spans="1:3" x14ac:dyDescent="0.45">
      <c r="A232" s="21"/>
      <c r="C232" s="25"/>
    </row>
    <row r="233" spans="1:3" x14ac:dyDescent="0.45">
      <c r="A233" s="21"/>
      <c r="C233" s="25"/>
    </row>
    <row r="234" spans="1:3" x14ac:dyDescent="0.45">
      <c r="A234" s="21"/>
      <c r="C234" s="25"/>
    </row>
    <row r="235" spans="1:3" x14ac:dyDescent="0.45">
      <c r="A235" s="21"/>
      <c r="C235" s="25"/>
    </row>
    <row r="236" spans="1:3" x14ac:dyDescent="0.45">
      <c r="A236" s="21"/>
      <c r="C236" s="25"/>
    </row>
    <row r="237" spans="1:3" x14ac:dyDescent="0.45">
      <c r="A237" s="21"/>
      <c r="C237" s="25"/>
    </row>
    <row r="238" spans="1:3" x14ac:dyDescent="0.45">
      <c r="A238" s="21"/>
      <c r="C238" s="25"/>
    </row>
    <row r="239" spans="1:3" x14ac:dyDescent="0.45">
      <c r="A239" s="21"/>
      <c r="C239" s="25"/>
    </row>
    <row r="240" spans="1:3" x14ac:dyDescent="0.45">
      <c r="A240" s="21"/>
      <c r="C240" s="25"/>
    </row>
    <row r="241" spans="1:3" x14ac:dyDescent="0.45">
      <c r="A241" s="21"/>
      <c r="C241" s="25"/>
    </row>
    <row r="242" spans="1:3" x14ac:dyDescent="0.45">
      <c r="A242" s="21"/>
      <c r="C242" s="25"/>
    </row>
    <row r="243" spans="1:3" x14ac:dyDescent="0.45">
      <c r="A243" s="21"/>
      <c r="C243" s="25"/>
    </row>
    <row r="244" spans="1:3" x14ac:dyDescent="0.45">
      <c r="A244" s="21"/>
      <c r="C244" s="25"/>
    </row>
    <row r="245" spans="1:3" x14ac:dyDescent="0.45">
      <c r="A245" s="21"/>
      <c r="C245" s="25"/>
    </row>
    <row r="246" spans="1:3" x14ac:dyDescent="0.45">
      <c r="A246" s="21"/>
      <c r="C246" s="25"/>
    </row>
    <row r="247" spans="1:3" x14ac:dyDescent="0.45">
      <c r="A247" s="21"/>
      <c r="C247" s="25"/>
    </row>
    <row r="248" spans="1:3" x14ac:dyDescent="0.45">
      <c r="A248" s="21"/>
      <c r="C248" s="25"/>
    </row>
    <row r="249" spans="1:3" x14ac:dyDescent="0.45">
      <c r="A249" s="21"/>
      <c r="C249" s="25"/>
    </row>
    <row r="250" spans="1:3" x14ac:dyDescent="0.45">
      <c r="A250" s="21"/>
      <c r="C250" s="25"/>
    </row>
    <row r="251" spans="1:3" x14ac:dyDescent="0.45">
      <c r="A251" s="21"/>
      <c r="C251" s="25"/>
    </row>
    <row r="252" spans="1:3" x14ac:dyDescent="0.45">
      <c r="A252" s="21"/>
      <c r="C252" s="25"/>
    </row>
    <row r="253" spans="1:3" x14ac:dyDescent="0.45">
      <c r="A253" s="21"/>
      <c r="C253" s="25"/>
    </row>
    <row r="254" spans="1:3" x14ac:dyDescent="0.45">
      <c r="A254" s="21"/>
      <c r="C254" s="25"/>
    </row>
    <row r="255" spans="1:3" x14ac:dyDescent="0.45">
      <c r="A255" s="21"/>
      <c r="C255" s="25"/>
    </row>
    <row r="256" spans="1:3" x14ac:dyDescent="0.45">
      <c r="A256" s="21"/>
      <c r="C256" s="25"/>
    </row>
    <row r="257" spans="1:3" x14ac:dyDescent="0.45">
      <c r="A257" s="21"/>
      <c r="C257" s="25"/>
    </row>
    <row r="258" spans="1:3" x14ac:dyDescent="0.45">
      <c r="A258" s="21"/>
      <c r="C258" s="25"/>
    </row>
    <row r="259" spans="1:3" x14ac:dyDescent="0.45">
      <c r="A259" s="21"/>
      <c r="C259" s="25"/>
    </row>
    <row r="260" spans="1:3" x14ac:dyDescent="0.45">
      <c r="A260" s="21"/>
      <c r="C260" s="25"/>
    </row>
    <row r="261" spans="1:3" x14ac:dyDescent="0.45">
      <c r="A261" s="21"/>
      <c r="C261" s="25"/>
    </row>
    <row r="262" spans="1:3" x14ac:dyDescent="0.45">
      <c r="A262" s="21"/>
      <c r="C262" s="25"/>
    </row>
    <row r="263" spans="1:3" x14ac:dyDescent="0.45">
      <c r="A263" s="21"/>
      <c r="C263" s="25"/>
    </row>
    <row r="264" spans="1:3" x14ac:dyDescent="0.45">
      <c r="A264" s="21"/>
      <c r="C264" s="25"/>
    </row>
    <row r="265" spans="1:3" x14ac:dyDescent="0.45">
      <c r="A265" s="21"/>
      <c r="C265" s="25"/>
    </row>
    <row r="266" spans="1:3" x14ac:dyDescent="0.45">
      <c r="A266" s="21"/>
      <c r="C266" s="25"/>
    </row>
    <row r="267" spans="1:3" x14ac:dyDescent="0.45">
      <c r="A267" s="21"/>
      <c r="C267" s="25"/>
    </row>
    <row r="268" spans="1:3" x14ac:dyDescent="0.45">
      <c r="A268" s="21"/>
      <c r="C268" s="25"/>
    </row>
    <row r="269" spans="1:3" x14ac:dyDescent="0.45">
      <c r="A269" s="21"/>
      <c r="C269" s="25"/>
    </row>
    <row r="270" spans="1:3" x14ac:dyDescent="0.45">
      <c r="A270" s="21"/>
      <c r="C270" s="25"/>
    </row>
    <row r="271" spans="1:3" x14ac:dyDescent="0.45">
      <c r="A271" s="21"/>
      <c r="C271" s="25"/>
    </row>
    <row r="272" spans="1:3" x14ac:dyDescent="0.45">
      <c r="A272" s="21"/>
      <c r="C272" s="25"/>
    </row>
    <row r="273" spans="1:3" x14ac:dyDescent="0.45">
      <c r="A273" s="21"/>
      <c r="C273" s="25"/>
    </row>
    <row r="274" spans="1:3" x14ac:dyDescent="0.45">
      <c r="A274" s="21"/>
      <c r="C274" s="25"/>
    </row>
    <row r="275" spans="1:3" x14ac:dyDescent="0.45">
      <c r="A275" s="21"/>
      <c r="C275" s="25"/>
    </row>
    <row r="276" spans="1:3" x14ac:dyDescent="0.45">
      <c r="A276" s="21"/>
      <c r="C276" s="25"/>
    </row>
    <row r="277" spans="1:3" x14ac:dyDescent="0.45">
      <c r="A277" s="21"/>
      <c r="C277" s="25"/>
    </row>
    <row r="278" spans="1:3" x14ac:dyDescent="0.45">
      <c r="A278" s="21"/>
      <c r="C278" s="25"/>
    </row>
    <row r="279" spans="1:3" x14ac:dyDescent="0.45">
      <c r="A279" s="21"/>
      <c r="C279" s="25"/>
    </row>
    <row r="280" spans="1:3" x14ac:dyDescent="0.45">
      <c r="A280" s="21"/>
      <c r="C280" s="25"/>
    </row>
    <row r="281" spans="1:3" x14ac:dyDescent="0.45">
      <c r="A281" s="21"/>
      <c r="C281" s="25"/>
    </row>
    <row r="282" spans="1:3" x14ac:dyDescent="0.45">
      <c r="A282" s="21"/>
      <c r="C282" s="25"/>
    </row>
    <row r="283" spans="1:3" x14ac:dyDescent="0.45">
      <c r="A283" s="21"/>
      <c r="C283" s="25"/>
    </row>
    <row r="284" spans="1:3" x14ac:dyDescent="0.45">
      <c r="A284" s="21"/>
      <c r="C284" s="25"/>
    </row>
    <row r="285" spans="1:3" x14ac:dyDescent="0.45">
      <c r="A285" s="21"/>
      <c r="C285" s="25"/>
    </row>
    <row r="286" spans="1:3" x14ac:dyDescent="0.45">
      <c r="A286" s="21"/>
      <c r="C286" s="25"/>
    </row>
    <row r="287" spans="1:3" x14ac:dyDescent="0.45">
      <c r="A287" s="21"/>
      <c r="C287" s="25"/>
    </row>
    <row r="288" spans="1:3" x14ac:dyDescent="0.45">
      <c r="A288" s="21"/>
      <c r="C288" s="25"/>
    </row>
    <row r="289" spans="1:3" x14ac:dyDescent="0.45">
      <c r="A289" s="21"/>
      <c r="C289" s="25"/>
    </row>
    <row r="290" spans="1:3" x14ac:dyDescent="0.45">
      <c r="A290" s="21"/>
      <c r="C290" s="25"/>
    </row>
    <row r="291" spans="1:3" x14ac:dyDescent="0.45">
      <c r="A291" s="21"/>
      <c r="C291" s="25"/>
    </row>
    <row r="292" spans="1:3" x14ac:dyDescent="0.45">
      <c r="A292" s="21"/>
      <c r="C292" s="25"/>
    </row>
    <row r="293" spans="1:3" x14ac:dyDescent="0.45">
      <c r="A293" s="21"/>
      <c r="C293" s="25"/>
    </row>
    <row r="294" spans="1:3" x14ac:dyDescent="0.45">
      <c r="A294" s="21"/>
      <c r="C294" s="25"/>
    </row>
    <row r="295" spans="1:3" x14ac:dyDescent="0.45">
      <c r="A295" s="21"/>
      <c r="C295" s="25"/>
    </row>
    <row r="296" spans="1:3" x14ac:dyDescent="0.45">
      <c r="A296" s="21"/>
      <c r="C296" s="25"/>
    </row>
    <row r="297" spans="1:3" x14ac:dyDescent="0.45">
      <c r="A297" s="21"/>
      <c r="C297" s="25"/>
    </row>
    <row r="298" spans="1:3" x14ac:dyDescent="0.45">
      <c r="A298" s="21"/>
      <c r="C298" s="25"/>
    </row>
    <row r="299" spans="1:3" x14ac:dyDescent="0.45">
      <c r="A299" s="21"/>
      <c r="C299" s="25"/>
    </row>
    <row r="300" spans="1:3" x14ac:dyDescent="0.45">
      <c r="A300" s="21"/>
      <c r="C300" s="25"/>
    </row>
    <row r="301" spans="1:3" x14ac:dyDescent="0.45">
      <c r="A301" s="21"/>
      <c r="C301" s="25"/>
    </row>
    <row r="302" spans="1:3" x14ac:dyDescent="0.45">
      <c r="A302" s="21"/>
      <c r="C302" s="25"/>
    </row>
    <row r="303" spans="1:3" x14ac:dyDescent="0.45">
      <c r="A303" s="21"/>
      <c r="C303" s="25"/>
    </row>
    <row r="304" spans="1:3" x14ac:dyDescent="0.45">
      <c r="A304" s="21"/>
      <c r="C304" s="25"/>
    </row>
    <row r="305" spans="1:3" x14ac:dyDescent="0.45">
      <c r="A305" s="21"/>
      <c r="C305" s="25"/>
    </row>
    <row r="306" spans="1:3" x14ac:dyDescent="0.45">
      <c r="A306" s="21"/>
      <c r="C306" s="25"/>
    </row>
    <row r="307" spans="1:3" x14ac:dyDescent="0.45">
      <c r="A307" s="21"/>
      <c r="C307" s="25"/>
    </row>
    <row r="308" spans="1:3" x14ac:dyDescent="0.45">
      <c r="A308" s="21"/>
      <c r="C308" s="25"/>
    </row>
    <row r="309" spans="1:3" x14ac:dyDescent="0.45">
      <c r="A309" s="21"/>
      <c r="C309" s="25"/>
    </row>
    <row r="310" spans="1:3" x14ac:dyDescent="0.45">
      <c r="A310" s="21"/>
      <c r="C310" s="25"/>
    </row>
    <row r="311" spans="1:3" x14ac:dyDescent="0.45">
      <c r="A311" s="21"/>
      <c r="C311" s="25"/>
    </row>
    <row r="312" spans="1:3" x14ac:dyDescent="0.45">
      <c r="A312" s="21"/>
      <c r="C312" s="25"/>
    </row>
    <row r="313" spans="1:3" x14ac:dyDescent="0.45">
      <c r="A313" s="21"/>
      <c r="C313" s="25"/>
    </row>
    <row r="314" spans="1:3" x14ac:dyDescent="0.45">
      <c r="A314" s="21"/>
      <c r="C314" s="25"/>
    </row>
    <row r="315" spans="1:3" x14ac:dyDescent="0.45">
      <c r="A315" s="21"/>
      <c r="C315" s="25"/>
    </row>
    <row r="316" spans="1:3" x14ac:dyDescent="0.45">
      <c r="A316" s="21"/>
      <c r="C316" s="25"/>
    </row>
    <row r="317" spans="1:3" x14ac:dyDescent="0.45">
      <c r="A317" s="21"/>
      <c r="C317" s="25"/>
    </row>
    <row r="318" spans="1:3" x14ac:dyDescent="0.45">
      <c r="A318" s="21"/>
      <c r="C318" s="25"/>
    </row>
    <row r="319" spans="1:3" x14ac:dyDescent="0.45">
      <c r="A319" s="21"/>
      <c r="C319" s="25"/>
    </row>
    <row r="320" spans="1:3" x14ac:dyDescent="0.45">
      <c r="A320" s="21"/>
      <c r="C320" s="25"/>
    </row>
    <row r="321" spans="1:3" x14ac:dyDescent="0.45">
      <c r="A321" s="21"/>
      <c r="C321" s="25"/>
    </row>
    <row r="322" spans="1:3" x14ac:dyDescent="0.45">
      <c r="A322" s="21"/>
      <c r="C322" s="25"/>
    </row>
    <row r="323" spans="1:3" x14ac:dyDescent="0.45">
      <c r="A323" s="21"/>
      <c r="C323" s="25"/>
    </row>
    <row r="324" spans="1:3" x14ac:dyDescent="0.45">
      <c r="A324" s="21"/>
      <c r="C324" s="25"/>
    </row>
    <row r="325" spans="1:3" x14ac:dyDescent="0.45">
      <c r="A325" s="21"/>
      <c r="C325" s="25"/>
    </row>
    <row r="326" spans="1:3" x14ac:dyDescent="0.45">
      <c r="A326" s="21"/>
      <c r="C326" s="25"/>
    </row>
    <row r="327" spans="1:3" x14ac:dyDescent="0.45">
      <c r="A327" s="21"/>
      <c r="C327" s="25"/>
    </row>
    <row r="328" spans="1:3" x14ac:dyDescent="0.45">
      <c r="A328" s="21"/>
      <c r="C328" s="25"/>
    </row>
    <row r="329" spans="1:3" x14ac:dyDescent="0.45">
      <c r="A329" s="21"/>
      <c r="C329" s="25"/>
    </row>
    <row r="330" spans="1:3" x14ac:dyDescent="0.45">
      <c r="A330" s="21"/>
      <c r="C330" s="25"/>
    </row>
    <row r="331" spans="1:3" x14ac:dyDescent="0.45">
      <c r="A331" s="21"/>
      <c r="C331" s="25"/>
    </row>
    <row r="332" spans="1:3" x14ac:dyDescent="0.45">
      <c r="A332" s="21"/>
      <c r="C332" s="25"/>
    </row>
    <row r="333" spans="1:3" x14ac:dyDescent="0.45">
      <c r="A333" s="21"/>
      <c r="C333" s="25"/>
    </row>
    <row r="334" spans="1:3" x14ac:dyDescent="0.45">
      <c r="A334" s="21"/>
      <c r="C334" s="25"/>
    </row>
    <row r="335" spans="1:3" x14ac:dyDescent="0.45">
      <c r="A335" s="21"/>
      <c r="C335" s="25"/>
    </row>
    <row r="336" spans="1:3" x14ac:dyDescent="0.45">
      <c r="A336" s="21"/>
      <c r="C336" s="25"/>
    </row>
    <row r="337" spans="1:3" x14ac:dyDescent="0.45">
      <c r="A337" s="21"/>
      <c r="C337" s="25"/>
    </row>
    <row r="338" spans="1:3" x14ac:dyDescent="0.45">
      <c r="A338" s="21"/>
      <c r="C338" s="25"/>
    </row>
    <row r="339" spans="1:3" x14ac:dyDescent="0.45">
      <c r="A339" s="21"/>
      <c r="C339" s="25"/>
    </row>
    <row r="340" spans="1:3" x14ac:dyDescent="0.45">
      <c r="A340" s="21"/>
      <c r="C340" s="25"/>
    </row>
    <row r="341" spans="1:3" x14ac:dyDescent="0.45">
      <c r="A341" s="21"/>
      <c r="C341" s="25"/>
    </row>
    <row r="342" spans="1:3" x14ac:dyDescent="0.45">
      <c r="A342" s="21"/>
      <c r="C342" s="25"/>
    </row>
    <row r="343" spans="1:3" x14ac:dyDescent="0.45">
      <c r="A343" s="21"/>
      <c r="C343" s="25"/>
    </row>
    <row r="344" spans="1:3" x14ac:dyDescent="0.45">
      <c r="A344" s="21"/>
      <c r="C344" s="25"/>
    </row>
    <row r="345" spans="1:3" x14ac:dyDescent="0.45">
      <c r="A345" s="21"/>
      <c r="C345" s="25"/>
    </row>
    <row r="346" spans="1:3" x14ac:dyDescent="0.45">
      <c r="A346" s="21"/>
      <c r="C346" s="25"/>
    </row>
    <row r="347" spans="1:3" x14ac:dyDescent="0.45">
      <c r="A347" s="21"/>
      <c r="C347" s="25"/>
    </row>
    <row r="348" spans="1:3" x14ac:dyDescent="0.45">
      <c r="A348" s="21"/>
      <c r="C348" s="25"/>
    </row>
    <row r="349" spans="1:3" x14ac:dyDescent="0.45">
      <c r="A349" s="21"/>
      <c r="C349" s="25"/>
    </row>
    <row r="350" spans="1:3" x14ac:dyDescent="0.45">
      <c r="A350" s="21"/>
      <c r="C350" s="25"/>
    </row>
    <row r="351" spans="1:3" x14ac:dyDescent="0.45">
      <c r="A351" s="21"/>
      <c r="C351" s="25"/>
    </row>
    <row r="352" spans="1:3" x14ac:dyDescent="0.45">
      <c r="A352" s="21"/>
      <c r="C352" s="25"/>
    </row>
    <row r="353" spans="1:3" x14ac:dyDescent="0.45">
      <c r="A353" s="21"/>
      <c r="C353" s="25"/>
    </row>
    <row r="354" spans="1:3" x14ac:dyDescent="0.45">
      <c r="A354" s="21"/>
      <c r="C354" s="25"/>
    </row>
    <row r="355" spans="1:3" x14ac:dyDescent="0.45">
      <c r="A355" s="21"/>
      <c r="C355" s="25"/>
    </row>
    <row r="356" spans="1:3" x14ac:dyDescent="0.45">
      <c r="A356" s="21"/>
      <c r="C356" s="25"/>
    </row>
    <row r="357" spans="1:3" x14ac:dyDescent="0.45">
      <c r="A357" s="21"/>
      <c r="C357" s="25"/>
    </row>
    <row r="358" spans="1:3" x14ac:dyDescent="0.45">
      <c r="A358" s="21"/>
      <c r="C358" s="25"/>
    </row>
    <row r="359" spans="1:3" x14ac:dyDescent="0.45">
      <c r="A359" s="21"/>
      <c r="C359" s="25"/>
    </row>
    <row r="360" spans="1:3" x14ac:dyDescent="0.45">
      <c r="A360" s="21"/>
      <c r="C360" s="25"/>
    </row>
    <row r="361" spans="1:3" x14ac:dyDescent="0.45">
      <c r="A361" s="21"/>
      <c r="C361" s="25"/>
    </row>
    <row r="362" spans="1:3" x14ac:dyDescent="0.45">
      <c r="A362" s="21"/>
      <c r="C362" s="25"/>
    </row>
    <row r="363" spans="1:3" x14ac:dyDescent="0.45">
      <c r="A363" s="21"/>
      <c r="C363" s="25"/>
    </row>
    <row r="364" spans="1:3" x14ac:dyDescent="0.45">
      <c r="A364" s="21"/>
      <c r="C364" s="25"/>
    </row>
    <row r="365" spans="1:3" x14ac:dyDescent="0.45">
      <c r="A365" s="21"/>
      <c r="C365" s="25"/>
    </row>
    <row r="366" spans="1:3" x14ac:dyDescent="0.45">
      <c r="A366" s="21"/>
      <c r="C366" s="25"/>
    </row>
    <row r="367" spans="1:3" x14ac:dyDescent="0.45">
      <c r="A367" s="21"/>
      <c r="C367" s="25"/>
    </row>
    <row r="368" spans="1:3" x14ac:dyDescent="0.45">
      <c r="A368" s="21"/>
      <c r="C368" s="25"/>
    </row>
    <row r="369" spans="1:3" x14ac:dyDescent="0.45">
      <c r="A369" s="21"/>
      <c r="C369" s="25"/>
    </row>
    <row r="370" spans="1:3" x14ac:dyDescent="0.45">
      <c r="A370" s="21"/>
      <c r="C370" s="25"/>
    </row>
    <row r="371" spans="1:3" x14ac:dyDescent="0.45">
      <c r="A371" s="21"/>
      <c r="C371" s="25"/>
    </row>
    <row r="372" spans="1:3" x14ac:dyDescent="0.45">
      <c r="A372" s="21"/>
      <c r="C372" s="25"/>
    </row>
    <row r="373" spans="1:3" x14ac:dyDescent="0.45">
      <c r="A373" s="21"/>
      <c r="C373" s="25"/>
    </row>
    <row r="374" spans="1:3" x14ac:dyDescent="0.45">
      <c r="A374" s="21"/>
      <c r="C374" s="25"/>
    </row>
    <row r="375" spans="1:3" x14ac:dyDescent="0.45">
      <c r="A375" s="21"/>
      <c r="C375" s="25"/>
    </row>
    <row r="376" spans="1:3" x14ac:dyDescent="0.45">
      <c r="A376" s="21"/>
      <c r="C376" s="25"/>
    </row>
    <row r="377" spans="1:3" x14ac:dyDescent="0.45">
      <c r="A377" s="21"/>
      <c r="C377" s="25"/>
    </row>
    <row r="378" spans="1:3" x14ac:dyDescent="0.45">
      <c r="A378" s="21"/>
      <c r="C378" s="25"/>
    </row>
    <row r="379" spans="1:3" x14ac:dyDescent="0.45">
      <c r="A379" s="21"/>
      <c r="C379" s="25"/>
    </row>
    <row r="380" spans="1:3" x14ac:dyDescent="0.45">
      <c r="A380" s="21"/>
      <c r="C380" s="25"/>
    </row>
    <row r="381" spans="1:3" x14ac:dyDescent="0.45">
      <c r="A381" s="21"/>
      <c r="C381" s="25"/>
    </row>
    <row r="382" spans="1:3" x14ac:dyDescent="0.45">
      <c r="A382" s="21"/>
      <c r="C382" s="25"/>
    </row>
    <row r="383" spans="1:3" x14ac:dyDescent="0.45">
      <c r="A383" s="21"/>
      <c r="C383" s="25"/>
    </row>
    <row r="384" spans="1:3" x14ac:dyDescent="0.45">
      <c r="A384" s="21"/>
      <c r="C384" s="25"/>
    </row>
    <row r="385" spans="1:3" x14ac:dyDescent="0.45">
      <c r="A385" s="21"/>
      <c r="C385" s="25"/>
    </row>
    <row r="386" spans="1:3" x14ac:dyDescent="0.45">
      <c r="A386" s="21"/>
      <c r="C386" s="25"/>
    </row>
    <row r="387" spans="1:3" x14ac:dyDescent="0.45">
      <c r="A387" s="21"/>
      <c r="C387" s="25"/>
    </row>
    <row r="388" spans="1:3" x14ac:dyDescent="0.45">
      <c r="A388" s="21"/>
      <c r="C388" s="25"/>
    </row>
    <row r="389" spans="1:3" x14ac:dyDescent="0.45">
      <c r="A389" s="21"/>
      <c r="C389" s="25"/>
    </row>
    <row r="390" spans="1:3" x14ac:dyDescent="0.45">
      <c r="A390" s="21"/>
      <c r="C390" s="25"/>
    </row>
    <row r="391" spans="1:3" x14ac:dyDescent="0.45">
      <c r="A391" s="21"/>
      <c r="C391" s="25"/>
    </row>
    <row r="392" spans="1:3" x14ac:dyDescent="0.45">
      <c r="A392" s="21"/>
      <c r="C392" s="25"/>
    </row>
    <row r="393" spans="1:3" x14ac:dyDescent="0.45">
      <c r="A393" s="21"/>
      <c r="C393" s="25"/>
    </row>
    <row r="394" spans="1:3" x14ac:dyDescent="0.45">
      <c r="A394" s="21"/>
      <c r="C394" s="25"/>
    </row>
    <row r="395" spans="1:3" x14ac:dyDescent="0.45">
      <c r="A395" s="21"/>
      <c r="C395" s="25"/>
    </row>
    <row r="396" spans="1:3" x14ac:dyDescent="0.45">
      <c r="A396" s="21"/>
      <c r="C396" s="25"/>
    </row>
    <row r="397" spans="1:3" x14ac:dyDescent="0.45">
      <c r="A397" s="21"/>
      <c r="C397" s="25"/>
    </row>
    <row r="398" spans="1:3" x14ac:dyDescent="0.45">
      <c r="A398" s="21"/>
      <c r="C398" s="25"/>
    </row>
    <row r="399" spans="1:3" x14ac:dyDescent="0.45">
      <c r="A399" s="21"/>
      <c r="C399" s="25"/>
    </row>
    <row r="400" spans="1:3" x14ac:dyDescent="0.45">
      <c r="A400" s="21"/>
      <c r="C400" s="25"/>
    </row>
    <row r="401" spans="1:3" x14ac:dyDescent="0.45">
      <c r="A401" s="21"/>
      <c r="C401" s="25"/>
    </row>
    <row r="402" spans="1:3" x14ac:dyDescent="0.45">
      <c r="A402" s="21"/>
      <c r="C402" s="25"/>
    </row>
    <row r="403" spans="1:3" x14ac:dyDescent="0.45">
      <c r="A403" s="21"/>
      <c r="C403" s="25"/>
    </row>
    <row r="404" spans="1:3" x14ac:dyDescent="0.45">
      <c r="A404" s="21"/>
      <c r="C404" s="25"/>
    </row>
    <row r="405" spans="1:3" x14ac:dyDescent="0.45">
      <c r="A405" s="21"/>
      <c r="C405" s="25"/>
    </row>
    <row r="406" spans="1:3" x14ac:dyDescent="0.45">
      <c r="A406" s="21"/>
      <c r="C406" s="25"/>
    </row>
    <row r="407" spans="1:3" x14ac:dyDescent="0.45">
      <c r="A407" s="21"/>
      <c r="C407" s="25"/>
    </row>
    <row r="408" spans="1:3" x14ac:dyDescent="0.45">
      <c r="A408" s="21"/>
      <c r="C408" s="25"/>
    </row>
    <row r="409" spans="1:3" x14ac:dyDescent="0.45">
      <c r="A409" s="21"/>
      <c r="C409" s="25"/>
    </row>
    <row r="410" spans="1:3" x14ac:dyDescent="0.45">
      <c r="A410" s="21"/>
      <c r="C410" s="25"/>
    </row>
    <row r="411" spans="1:3" x14ac:dyDescent="0.45">
      <c r="A411" s="21"/>
      <c r="C411" s="25"/>
    </row>
    <row r="412" spans="1:3" x14ac:dyDescent="0.45">
      <c r="A412" s="21"/>
      <c r="C412" s="25"/>
    </row>
    <row r="413" spans="1:3" x14ac:dyDescent="0.45">
      <c r="A413" s="21"/>
      <c r="C413" s="25"/>
    </row>
    <row r="414" spans="1:3" x14ac:dyDescent="0.45">
      <c r="A414" s="21"/>
      <c r="C414" s="25"/>
    </row>
    <row r="415" spans="1:3" x14ac:dyDescent="0.45">
      <c r="A415" s="21"/>
      <c r="C415" s="25"/>
    </row>
    <row r="416" spans="1:3" x14ac:dyDescent="0.45">
      <c r="A416" s="21"/>
      <c r="C416" s="25"/>
    </row>
    <row r="417" spans="1:3" x14ac:dyDescent="0.45">
      <c r="A417" s="21"/>
      <c r="C417" s="25"/>
    </row>
    <row r="418" spans="1:3" x14ac:dyDescent="0.45">
      <c r="A418" s="21"/>
      <c r="C418" s="25"/>
    </row>
    <row r="419" spans="1:3" x14ac:dyDescent="0.45">
      <c r="A419" s="21"/>
      <c r="C419" s="25"/>
    </row>
    <row r="420" spans="1:3" x14ac:dyDescent="0.45">
      <c r="A420" s="21"/>
      <c r="C420" s="25"/>
    </row>
    <row r="421" spans="1:3" x14ac:dyDescent="0.45">
      <c r="A421" s="21"/>
      <c r="C421" s="25"/>
    </row>
    <row r="422" spans="1:3" x14ac:dyDescent="0.45">
      <c r="A422" s="21"/>
      <c r="C422" s="25"/>
    </row>
    <row r="423" spans="1:3" x14ac:dyDescent="0.45">
      <c r="A423" s="21"/>
      <c r="C423" s="25"/>
    </row>
    <row r="424" spans="1:3" x14ac:dyDescent="0.45">
      <c r="A424" s="21"/>
      <c r="C424" s="25"/>
    </row>
    <row r="425" spans="1:3" x14ac:dyDescent="0.45">
      <c r="A425" s="21"/>
      <c r="C425" s="25"/>
    </row>
    <row r="426" spans="1:3" x14ac:dyDescent="0.45">
      <c r="A426" s="21"/>
      <c r="C426" s="25"/>
    </row>
    <row r="427" spans="1:3" x14ac:dyDescent="0.45">
      <c r="A427" s="21"/>
      <c r="C427" s="25"/>
    </row>
    <row r="428" spans="1:3" x14ac:dyDescent="0.45">
      <c r="A428" s="21"/>
      <c r="C428" s="25"/>
    </row>
    <row r="429" spans="1:3" x14ac:dyDescent="0.45">
      <c r="A429" s="21"/>
      <c r="C429" s="25"/>
    </row>
    <row r="430" spans="1:3" x14ac:dyDescent="0.45">
      <c r="A430" s="21"/>
      <c r="C430" s="25"/>
    </row>
    <row r="431" spans="1:3" x14ac:dyDescent="0.45">
      <c r="A431" s="21"/>
      <c r="C431" s="25"/>
    </row>
    <row r="432" spans="1:3" x14ac:dyDescent="0.45">
      <c r="A432" s="21"/>
      <c r="C432" s="25"/>
    </row>
    <row r="433" spans="1:3" x14ac:dyDescent="0.45">
      <c r="A433" s="21"/>
      <c r="C433" s="25"/>
    </row>
    <row r="434" spans="1:3" x14ac:dyDescent="0.45">
      <c r="A434" s="21"/>
      <c r="C434" s="25"/>
    </row>
    <row r="435" spans="1:3" x14ac:dyDescent="0.45">
      <c r="A435" s="21"/>
      <c r="C435" s="25"/>
    </row>
    <row r="436" spans="1:3" x14ac:dyDescent="0.45">
      <c r="A436" s="21"/>
      <c r="C436" s="25"/>
    </row>
    <row r="437" spans="1:3" x14ac:dyDescent="0.45">
      <c r="A437" s="21"/>
      <c r="C437" s="25"/>
    </row>
    <row r="438" spans="1:3" x14ac:dyDescent="0.45">
      <c r="A438" s="21"/>
      <c r="C438" s="25"/>
    </row>
    <row r="439" spans="1:3" x14ac:dyDescent="0.45">
      <c r="A439" s="21"/>
      <c r="C439" s="25"/>
    </row>
    <row r="440" spans="1:3" x14ac:dyDescent="0.45">
      <c r="A440" s="21"/>
      <c r="C440" s="25"/>
    </row>
    <row r="441" spans="1:3" x14ac:dyDescent="0.45">
      <c r="A441" s="21"/>
      <c r="C441" s="25"/>
    </row>
    <row r="442" spans="1:3" x14ac:dyDescent="0.45">
      <c r="A442" s="21"/>
      <c r="C442" s="25"/>
    </row>
    <row r="443" spans="1:3" x14ac:dyDescent="0.45">
      <c r="A443" s="21"/>
      <c r="C443" s="25"/>
    </row>
    <row r="444" spans="1:3" x14ac:dyDescent="0.45">
      <c r="A444" s="21"/>
      <c r="C444" s="25"/>
    </row>
    <row r="445" spans="1:3" x14ac:dyDescent="0.45">
      <c r="A445" s="21"/>
      <c r="C445" s="25"/>
    </row>
    <row r="446" spans="1:3" x14ac:dyDescent="0.45">
      <c r="A446" s="21"/>
      <c r="C446" s="25"/>
    </row>
    <row r="447" spans="1:3" x14ac:dyDescent="0.45">
      <c r="A447" s="21"/>
      <c r="C447" s="25"/>
    </row>
    <row r="448" spans="1:3" x14ac:dyDescent="0.45">
      <c r="A448" s="21"/>
      <c r="C448" s="25"/>
    </row>
    <row r="449" spans="1:3" x14ac:dyDescent="0.45">
      <c r="A449" s="21"/>
      <c r="C449" s="25"/>
    </row>
    <row r="450" spans="1:3" x14ac:dyDescent="0.45">
      <c r="A450" s="21"/>
      <c r="C450" s="25"/>
    </row>
    <row r="451" spans="1:3" x14ac:dyDescent="0.45">
      <c r="A451" s="21"/>
      <c r="C451" s="25"/>
    </row>
    <row r="452" spans="1:3" x14ac:dyDescent="0.45">
      <c r="A452" s="21"/>
      <c r="C452" s="25"/>
    </row>
    <row r="453" spans="1:3" x14ac:dyDescent="0.45">
      <c r="A453" s="21"/>
      <c r="C453" s="25"/>
    </row>
    <row r="454" spans="1:3" x14ac:dyDescent="0.45">
      <c r="A454" s="21"/>
      <c r="C454" s="25"/>
    </row>
    <row r="455" spans="1:3" x14ac:dyDescent="0.45">
      <c r="A455" s="21"/>
      <c r="C455" s="25"/>
    </row>
    <row r="456" spans="1:3" x14ac:dyDescent="0.45">
      <c r="A456" s="21"/>
      <c r="C456" s="25"/>
    </row>
    <row r="457" spans="1:3" x14ac:dyDescent="0.45">
      <c r="A457" s="21"/>
      <c r="C457" s="25"/>
    </row>
    <row r="458" spans="1:3" x14ac:dyDescent="0.45">
      <c r="A458" s="21"/>
      <c r="C458" s="25"/>
    </row>
    <row r="459" spans="1:3" x14ac:dyDescent="0.45">
      <c r="A459" s="21"/>
      <c r="C459" s="25"/>
    </row>
    <row r="460" spans="1:3" x14ac:dyDescent="0.45">
      <c r="A460" s="21"/>
      <c r="C460" s="25"/>
    </row>
    <row r="461" spans="1:3" x14ac:dyDescent="0.45">
      <c r="A461" s="21"/>
      <c r="C461" s="25"/>
    </row>
    <row r="462" spans="1:3" x14ac:dyDescent="0.45">
      <c r="A462" s="21"/>
      <c r="C462" s="25"/>
    </row>
    <row r="463" spans="1:3" x14ac:dyDescent="0.45">
      <c r="A463" s="21"/>
      <c r="C463" s="25"/>
    </row>
    <row r="464" spans="1:3" x14ac:dyDescent="0.45">
      <c r="A464" s="21"/>
      <c r="C464" s="25"/>
    </row>
    <row r="465" spans="1:3" x14ac:dyDescent="0.45">
      <c r="A465" s="21"/>
      <c r="C465" s="25"/>
    </row>
    <row r="466" spans="1:3" x14ac:dyDescent="0.45">
      <c r="A466" s="21"/>
      <c r="C466" s="25"/>
    </row>
    <row r="467" spans="1:3" x14ac:dyDescent="0.45">
      <c r="A467" s="21"/>
      <c r="C467" s="25"/>
    </row>
    <row r="468" spans="1:3" x14ac:dyDescent="0.45">
      <c r="A468" s="21"/>
      <c r="C468" s="25"/>
    </row>
    <row r="469" spans="1:3" x14ac:dyDescent="0.45">
      <c r="A469" s="21"/>
      <c r="C469" s="25"/>
    </row>
    <row r="470" spans="1:3" x14ac:dyDescent="0.45">
      <c r="A470" s="21"/>
      <c r="C470" s="25"/>
    </row>
    <row r="471" spans="1:3" x14ac:dyDescent="0.45">
      <c r="A471" s="21"/>
      <c r="C471" s="25"/>
    </row>
    <row r="472" spans="1:3" x14ac:dyDescent="0.45">
      <c r="A472" s="21"/>
      <c r="C472" s="25"/>
    </row>
    <row r="473" spans="1:3" x14ac:dyDescent="0.45">
      <c r="A473" s="21"/>
      <c r="C473" s="25"/>
    </row>
    <row r="474" spans="1:3" x14ac:dyDescent="0.45">
      <c r="A474" s="21"/>
      <c r="C474" s="25"/>
    </row>
    <row r="475" spans="1:3" x14ac:dyDescent="0.45">
      <c r="A475" s="21"/>
      <c r="C475" s="25"/>
    </row>
    <row r="476" spans="1:3" x14ac:dyDescent="0.45">
      <c r="A476" s="21"/>
      <c r="C476" s="25"/>
    </row>
    <row r="477" spans="1:3" x14ac:dyDescent="0.45">
      <c r="A477" s="21"/>
      <c r="C477" s="25"/>
    </row>
    <row r="478" spans="1:3" x14ac:dyDescent="0.45">
      <c r="A478" s="21"/>
      <c r="C478" s="25"/>
    </row>
    <row r="479" spans="1:3" x14ac:dyDescent="0.45">
      <c r="A479" s="21"/>
      <c r="C479" s="25"/>
    </row>
    <row r="480" spans="1:3" x14ac:dyDescent="0.45">
      <c r="A480" s="21"/>
      <c r="C480" s="25"/>
    </row>
    <row r="481" spans="1:3" x14ac:dyDescent="0.45">
      <c r="A481" s="21"/>
      <c r="C481" s="25"/>
    </row>
    <row r="482" spans="1:3" x14ac:dyDescent="0.45">
      <c r="A482" s="21"/>
      <c r="C482" s="25"/>
    </row>
    <row r="483" spans="1:3" x14ac:dyDescent="0.45">
      <c r="A483" s="21"/>
      <c r="C483" s="25"/>
    </row>
    <row r="484" spans="1:3" x14ac:dyDescent="0.45">
      <c r="A484" s="21"/>
      <c r="C484" s="25"/>
    </row>
    <row r="485" spans="1:3" x14ac:dyDescent="0.45">
      <c r="A485" s="21"/>
      <c r="C485" s="25"/>
    </row>
    <row r="486" spans="1:3" x14ac:dyDescent="0.45">
      <c r="A486" s="21"/>
      <c r="C486" s="25"/>
    </row>
    <row r="487" spans="1:3" x14ac:dyDescent="0.45">
      <c r="A487" s="21"/>
      <c r="C487" s="25"/>
    </row>
    <row r="488" spans="1:3" x14ac:dyDescent="0.45">
      <c r="A488" s="21"/>
      <c r="C488" s="25"/>
    </row>
    <row r="489" spans="1:3" x14ac:dyDescent="0.45">
      <c r="A489" s="21"/>
      <c r="C489" s="25"/>
    </row>
    <row r="490" spans="1:3" x14ac:dyDescent="0.45">
      <c r="A490" s="21"/>
      <c r="C490" s="25"/>
    </row>
    <row r="491" spans="1:3" x14ac:dyDescent="0.45">
      <c r="A491" s="21"/>
      <c r="C491" s="25"/>
    </row>
    <row r="492" spans="1:3" x14ac:dyDescent="0.45">
      <c r="A492" s="21"/>
      <c r="C492" s="25"/>
    </row>
    <row r="493" spans="1:3" x14ac:dyDescent="0.45">
      <c r="A493" s="21"/>
      <c r="C493" s="25"/>
    </row>
    <row r="494" spans="1:3" x14ac:dyDescent="0.45">
      <c r="A494" s="21"/>
      <c r="C494" s="25"/>
    </row>
    <row r="495" spans="1:3" x14ac:dyDescent="0.45">
      <c r="A495" s="21"/>
      <c r="C495" s="25"/>
    </row>
    <row r="496" spans="1:3" x14ac:dyDescent="0.45">
      <c r="A496" s="21"/>
      <c r="C496" s="25"/>
    </row>
    <row r="497" spans="1:3" x14ac:dyDescent="0.45">
      <c r="A497" s="21"/>
      <c r="C497" s="25"/>
    </row>
    <row r="498" spans="1:3" x14ac:dyDescent="0.45">
      <c r="A498" s="21"/>
      <c r="C498" s="25"/>
    </row>
    <row r="499" spans="1:3" x14ac:dyDescent="0.45">
      <c r="A499" s="21"/>
      <c r="C499" s="25"/>
    </row>
    <row r="500" spans="1:3" x14ac:dyDescent="0.45">
      <c r="A500" s="21"/>
      <c r="C500" s="25"/>
    </row>
    <row r="501" spans="1:3" x14ac:dyDescent="0.45">
      <c r="A501" s="21"/>
      <c r="C501" s="25"/>
    </row>
    <row r="502" spans="1:3" x14ac:dyDescent="0.45">
      <c r="A502" s="21"/>
      <c r="C502" s="25"/>
    </row>
    <row r="503" spans="1:3" x14ac:dyDescent="0.45">
      <c r="A503" s="21"/>
      <c r="C503" s="25"/>
    </row>
    <row r="504" spans="1:3" x14ac:dyDescent="0.45">
      <c r="A504" s="21"/>
      <c r="C504" s="25"/>
    </row>
    <row r="505" spans="1:3" x14ac:dyDescent="0.45">
      <c r="A505" s="21"/>
    </row>
    <row r="506" spans="1:3" x14ac:dyDescent="0.45">
      <c r="A506" s="21"/>
    </row>
    <row r="507" spans="1:3" x14ac:dyDescent="0.45">
      <c r="A507" s="21"/>
    </row>
    <row r="508" spans="1:3" x14ac:dyDescent="0.45">
      <c r="A508" s="21"/>
    </row>
    <row r="509" spans="1:3" x14ac:dyDescent="0.45">
      <c r="A509" s="21"/>
    </row>
    <row r="510" spans="1:3" x14ac:dyDescent="0.45">
      <c r="A510" s="21"/>
    </row>
    <row r="511" spans="1:3" x14ac:dyDescent="0.45">
      <c r="A511" s="21"/>
    </row>
    <row r="512" spans="1:3" x14ac:dyDescent="0.45">
      <c r="A512" s="21"/>
    </row>
    <row r="513" spans="1:1" x14ac:dyDescent="0.45">
      <c r="A513" s="21"/>
    </row>
    <row r="514" spans="1:1" x14ac:dyDescent="0.45">
      <c r="A514" s="21"/>
    </row>
    <row r="515" spans="1:1" x14ac:dyDescent="0.45">
      <c r="A515" s="21"/>
    </row>
    <row r="516" spans="1:1" x14ac:dyDescent="0.45">
      <c r="A516" s="21"/>
    </row>
    <row r="517" spans="1:1" x14ac:dyDescent="0.45">
      <c r="A517" s="21"/>
    </row>
    <row r="518" spans="1:1" x14ac:dyDescent="0.45">
      <c r="A518" s="21"/>
    </row>
    <row r="519" spans="1:1" x14ac:dyDescent="0.45">
      <c r="A519" s="21"/>
    </row>
    <row r="520" spans="1:1" x14ac:dyDescent="0.45">
      <c r="A520" s="21"/>
    </row>
    <row r="521" spans="1:1" x14ac:dyDescent="0.45">
      <c r="A521" s="21"/>
    </row>
    <row r="522" spans="1:1" x14ac:dyDescent="0.45">
      <c r="A522" s="21"/>
    </row>
    <row r="523" spans="1:1" x14ac:dyDescent="0.45">
      <c r="A523" s="21"/>
    </row>
    <row r="524" spans="1:1" x14ac:dyDescent="0.45">
      <c r="A524" s="21"/>
    </row>
    <row r="525" spans="1:1" x14ac:dyDescent="0.45">
      <c r="A525" s="21"/>
    </row>
    <row r="526" spans="1:1" x14ac:dyDescent="0.45">
      <c r="A526" s="21"/>
    </row>
    <row r="527" spans="1:1" x14ac:dyDescent="0.45">
      <c r="A527" s="21"/>
    </row>
    <row r="528" spans="1:1" x14ac:dyDescent="0.45">
      <c r="A528" s="21"/>
    </row>
    <row r="529" spans="1:1" x14ac:dyDescent="0.45">
      <c r="A529" s="21"/>
    </row>
    <row r="530" spans="1:1" x14ac:dyDescent="0.45">
      <c r="A530" s="21"/>
    </row>
    <row r="531" spans="1:1" x14ac:dyDescent="0.45">
      <c r="A531" s="21"/>
    </row>
    <row r="532" spans="1:1" x14ac:dyDescent="0.45">
      <c r="A532" s="21"/>
    </row>
    <row r="533" spans="1:1" x14ac:dyDescent="0.45">
      <c r="A533" s="21"/>
    </row>
    <row r="534" spans="1:1" x14ac:dyDescent="0.45">
      <c r="A534" s="21"/>
    </row>
    <row r="535" spans="1:1" x14ac:dyDescent="0.45">
      <c r="A535" s="21"/>
    </row>
    <row r="536" spans="1:1" x14ac:dyDescent="0.45">
      <c r="A536" s="21"/>
    </row>
    <row r="537" spans="1:1" x14ac:dyDescent="0.45">
      <c r="A537" s="21"/>
    </row>
    <row r="538" spans="1:1" x14ac:dyDescent="0.45">
      <c r="A538" s="21"/>
    </row>
    <row r="539" spans="1:1" x14ac:dyDescent="0.45">
      <c r="A539" s="21"/>
    </row>
    <row r="540" spans="1:1" x14ac:dyDescent="0.45">
      <c r="A540" s="21"/>
    </row>
    <row r="541" spans="1:1" x14ac:dyDescent="0.45">
      <c r="A541" s="21"/>
    </row>
    <row r="542" spans="1:1" x14ac:dyDescent="0.45">
      <c r="A542" s="21"/>
    </row>
    <row r="543" spans="1:1" x14ac:dyDescent="0.45">
      <c r="A543" s="21"/>
    </row>
    <row r="544" spans="1:1" x14ac:dyDescent="0.45">
      <c r="A544" s="21"/>
    </row>
    <row r="545" spans="1:1" x14ac:dyDescent="0.45">
      <c r="A545" s="21"/>
    </row>
    <row r="546" spans="1:1" x14ac:dyDescent="0.45">
      <c r="A546" s="21"/>
    </row>
    <row r="547" spans="1:1" x14ac:dyDescent="0.45">
      <c r="A547" s="21"/>
    </row>
    <row r="548" spans="1:1" x14ac:dyDescent="0.45">
      <c r="A548" s="21"/>
    </row>
    <row r="549" spans="1:1" x14ac:dyDescent="0.45">
      <c r="A549" s="21"/>
    </row>
    <row r="550" spans="1:1" x14ac:dyDescent="0.45">
      <c r="A550" s="21"/>
    </row>
    <row r="551" spans="1:1" x14ac:dyDescent="0.45">
      <c r="A551" s="21"/>
    </row>
    <row r="552" spans="1:1" x14ac:dyDescent="0.45">
      <c r="A552" s="21"/>
    </row>
    <row r="553" spans="1:1" x14ac:dyDescent="0.45">
      <c r="A553" s="21"/>
    </row>
    <row r="554" spans="1:1" x14ac:dyDescent="0.45">
      <c r="A554" s="21"/>
    </row>
    <row r="555" spans="1:1" x14ac:dyDescent="0.45">
      <c r="A555" s="21"/>
    </row>
    <row r="556" spans="1:1" x14ac:dyDescent="0.45">
      <c r="A556" s="21"/>
    </row>
    <row r="557" spans="1:1" x14ac:dyDescent="0.45">
      <c r="A557" s="21"/>
    </row>
    <row r="558" spans="1:1" x14ac:dyDescent="0.45">
      <c r="A558" s="21"/>
    </row>
    <row r="559" spans="1:1" x14ac:dyDescent="0.45">
      <c r="A559" s="21"/>
    </row>
    <row r="560" spans="1:1" x14ac:dyDescent="0.45">
      <c r="A560" s="21"/>
    </row>
    <row r="561" spans="1:1" x14ac:dyDescent="0.45">
      <c r="A561" s="21"/>
    </row>
    <row r="562" spans="1:1" x14ac:dyDescent="0.45">
      <c r="A562" s="21"/>
    </row>
    <row r="563" spans="1:1" x14ac:dyDescent="0.45">
      <c r="A563" s="21"/>
    </row>
    <row r="564" spans="1:1" x14ac:dyDescent="0.45">
      <c r="A564" s="21"/>
    </row>
    <row r="565" spans="1:1" x14ac:dyDescent="0.45">
      <c r="A565" s="21"/>
    </row>
    <row r="566" spans="1:1" x14ac:dyDescent="0.45">
      <c r="A566" s="21"/>
    </row>
    <row r="567" spans="1:1" x14ac:dyDescent="0.45">
      <c r="A567" s="21"/>
    </row>
    <row r="568" spans="1:1" x14ac:dyDescent="0.45">
      <c r="A568" s="21"/>
    </row>
    <row r="569" spans="1:1" x14ac:dyDescent="0.45">
      <c r="A569" s="21"/>
    </row>
    <row r="570" spans="1:1" x14ac:dyDescent="0.45">
      <c r="A570" s="21"/>
    </row>
    <row r="571" spans="1:1" x14ac:dyDescent="0.45">
      <c r="A571" s="21"/>
    </row>
    <row r="572" spans="1:1" x14ac:dyDescent="0.45">
      <c r="A572" s="21"/>
    </row>
    <row r="573" spans="1:1" x14ac:dyDescent="0.45">
      <c r="A573" s="21"/>
    </row>
    <row r="574" spans="1:1" x14ac:dyDescent="0.45">
      <c r="A574" s="21"/>
    </row>
    <row r="575" spans="1:1" x14ac:dyDescent="0.45">
      <c r="A575" s="21"/>
    </row>
    <row r="576" spans="1:1" x14ac:dyDescent="0.45">
      <c r="A576" s="21"/>
    </row>
    <row r="577" spans="1:1" x14ac:dyDescent="0.45">
      <c r="A577" s="21"/>
    </row>
    <row r="578" spans="1:1" x14ac:dyDescent="0.45">
      <c r="A578" s="21"/>
    </row>
    <row r="579" spans="1:1" x14ac:dyDescent="0.45">
      <c r="A579" s="21"/>
    </row>
    <row r="580" spans="1:1" x14ac:dyDescent="0.45">
      <c r="A580" s="21"/>
    </row>
    <row r="581" spans="1:1" x14ac:dyDescent="0.45">
      <c r="A581" s="21"/>
    </row>
    <row r="582" spans="1:1" x14ac:dyDescent="0.45">
      <c r="A582" s="21"/>
    </row>
    <row r="583" spans="1:1" x14ac:dyDescent="0.45">
      <c r="A583" s="21"/>
    </row>
    <row r="584" spans="1:1" x14ac:dyDescent="0.45">
      <c r="A584" s="21"/>
    </row>
    <row r="585" spans="1:1" x14ac:dyDescent="0.45">
      <c r="A585" s="21"/>
    </row>
    <row r="586" spans="1:1" x14ac:dyDescent="0.45">
      <c r="A586" s="21"/>
    </row>
    <row r="587" spans="1:1" x14ac:dyDescent="0.45">
      <c r="A587" s="21"/>
    </row>
    <row r="588" spans="1:1" x14ac:dyDescent="0.45">
      <c r="A588" s="21"/>
    </row>
    <row r="589" spans="1:1" x14ac:dyDescent="0.45">
      <c r="A589" s="21"/>
    </row>
    <row r="590" spans="1:1" x14ac:dyDescent="0.45">
      <c r="A590" s="21"/>
    </row>
    <row r="591" spans="1:1" x14ac:dyDescent="0.45">
      <c r="A591" s="21"/>
    </row>
    <row r="592" spans="1:1" x14ac:dyDescent="0.45">
      <c r="A592" s="21"/>
    </row>
    <row r="593" spans="1:1" x14ac:dyDescent="0.45">
      <c r="A593" s="21"/>
    </row>
    <row r="594" spans="1:1" x14ac:dyDescent="0.45">
      <c r="A594" s="21"/>
    </row>
    <row r="595" spans="1:1" x14ac:dyDescent="0.45">
      <c r="A595" s="21"/>
    </row>
    <row r="596" spans="1:1" x14ac:dyDescent="0.45">
      <c r="A596" s="21"/>
    </row>
    <row r="597" spans="1:1" x14ac:dyDescent="0.45">
      <c r="A597" s="21"/>
    </row>
    <row r="598" spans="1:1" x14ac:dyDescent="0.45">
      <c r="A598" s="21"/>
    </row>
    <row r="599" spans="1:1" x14ac:dyDescent="0.45">
      <c r="A599" s="21"/>
    </row>
    <row r="600" spans="1:1" x14ac:dyDescent="0.45">
      <c r="A600" s="21"/>
    </row>
    <row r="601" spans="1:1" x14ac:dyDescent="0.45">
      <c r="A601" s="21"/>
    </row>
    <row r="602" spans="1:1" x14ac:dyDescent="0.45">
      <c r="A602" s="21"/>
    </row>
    <row r="603" spans="1:1" x14ac:dyDescent="0.45">
      <c r="A603" s="21"/>
    </row>
    <row r="604" spans="1:1" x14ac:dyDescent="0.45">
      <c r="A604" s="21"/>
    </row>
    <row r="605" spans="1:1" x14ac:dyDescent="0.45">
      <c r="A605" s="21"/>
    </row>
    <row r="606" spans="1:1" x14ac:dyDescent="0.45">
      <c r="A606" s="21"/>
    </row>
    <row r="607" spans="1:1" x14ac:dyDescent="0.45">
      <c r="A607" s="21"/>
    </row>
    <row r="608" spans="1:1" x14ac:dyDescent="0.45">
      <c r="A608" s="21"/>
    </row>
    <row r="609" spans="1:1" x14ac:dyDescent="0.45">
      <c r="A609" s="21"/>
    </row>
    <row r="610" spans="1:1" x14ac:dyDescent="0.45">
      <c r="A610" s="21"/>
    </row>
    <row r="611" spans="1:1" x14ac:dyDescent="0.45">
      <c r="A611" s="21"/>
    </row>
    <row r="612" spans="1:1" x14ac:dyDescent="0.45">
      <c r="A612" s="21"/>
    </row>
    <row r="613" spans="1:1" x14ac:dyDescent="0.45">
      <c r="A613" s="21"/>
    </row>
    <row r="614" spans="1:1" x14ac:dyDescent="0.45">
      <c r="A614" s="21"/>
    </row>
    <row r="615" spans="1:1" x14ac:dyDescent="0.45">
      <c r="A615" s="21"/>
    </row>
    <row r="616" spans="1:1" x14ac:dyDescent="0.45">
      <c r="A616" s="21"/>
    </row>
    <row r="617" spans="1:1" x14ac:dyDescent="0.45">
      <c r="A617" s="21"/>
    </row>
    <row r="618" spans="1:1" x14ac:dyDescent="0.45">
      <c r="A618" s="21"/>
    </row>
    <row r="619" spans="1:1" x14ac:dyDescent="0.45">
      <c r="A619" s="21"/>
    </row>
    <row r="620" spans="1:1" x14ac:dyDescent="0.45">
      <c r="A620" s="21"/>
    </row>
    <row r="621" spans="1:1" x14ac:dyDescent="0.45">
      <c r="A621" s="21"/>
    </row>
    <row r="622" spans="1:1" x14ac:dyDescent="0.45">
      <c r="A622" s="21"/>
    </row>
    <row r="623" spans="1:1" x14ac:dyDescent="0.45">
      <c r="A623" s="21"/>
    </row>
    <row r="624" spans="1:1" x14ac:dyDescent="0.45">
      <c r="A624" s="21"/>
    </row>
    <row r="625" spans="1:1" x14ac:dyDescent="0.45">
      <c r="A625" s="21"/>
    </row>
    <row r="626" spans="1:1" x14ac:dyDescent="0.45">
      <c r="A626" s="21"/>
    </row>
    <row r="627" spans="1:1" x14ac:dyDescent="0.45">
      <c r="A627" s="21"/>
    </row>
    <row r="628" spans="1:1" x14ac:dyDescent="0.45">
      <c r="A628" s="21"/>
    </row>
    <row r="629" spans="1:1" x14ac:dyDescent="0.45">
      <c r="A629" s="21"/>
    </row>
    <row r="630" spans="1:1" x14ac:dyDescent="0.45">
      <c r="A630" s="21"/>
    </row>
    <row r="631" spans="1:1" x14ac:dyDescent="0.45">
      <c r="A631" s="21"/>
    </row>
    <row r="632" spans="1:1" x14ac:dyDescent="0.45">
      <c r="A632" s="21"/>
    </row>
    <row r="633" spans="1:1" x14ac:dyDescent="0.45">
      <c r="A633" s="21"/>
    </row>
    <row r="634" spans="1:1" x14ac:dyDescent="0.45">
      <c r="A634" s="21"/>
    </row>
    <row r="635" spans="1:1" x14ac:dyDescent="0.45">
      <c r="A635" s="21"/>
    </row>
    <row r="636" spans="1:1" x14ac:dyDescent="0.45">
      <c r="A636" s="21"/>
    </row>
    <row r="637" spans="1:1" x14ac:dyDescent="0.45">
      <c r="A637" s="21"/>
    </row>
    <row r="638" spans="1:1" x14ac:dyDescent="0.45">
      <c r="A638" s="21"/>
    </row>
    <row r="639" spans="1:1" x14ac:dyDescent="0.45">
      <c r="A639" s="21"/>
    </row>
    <row r="640" spans="1:1" x14ac:dyDescent="0.45">
      <c r="A640" s="21"/>
    </row>
    <row r="641" spans="1:1" x14ac:dyDescent="0.45">
      <c r="A641" s="21"/>
    </row>
    <row r="642" spans="1:1" x14ac:dyDescent="0.45">
      <c r="A642" s="21"/>
    </row>
    <row r="643" spans="1:1" x14ac:dyDescent="0.45">
      <c r="A643" s="21"/>
    </row>
    <row r="644" spans="1:1" x14ac:dyDescent="0.45">
      <c r="A644" s="21"/>
    </row>
    <row r="645" spans="1:1" x14ac:dyDescent="0.45">
      <c r="A645" s="21"/>
    </row>
    <row r="646" spans="1:1" x14ac:dyDescent="0.45">
      <c r="A646" s="21"/>
    </row>
    <row r="647" spans="1:1" x14ac:dyDescent="0.45">
      <c r="A647" s="21"/>
    </row>
    <row r="648" spans="1:1" x14ac:dyDescent="0.45">
      <c r="A648" s="21"/>
    </row>
    <row r="649" spans="1:1" x14ac:dyDescent="0.45">
      <c r="A649" s="21"/>
    </row>
    <row r="650" spans="1:1" x14ac:dyDescent="0.45">
      <c r="A650" s="21"/>
    </row>
    <row r="651" spans="1:1" x14ac:dyDescent="0.45">
      <c r="A651" s="21"/>
    </row>
    <row r="652" spans="1:1" x14ac:dyDescent="0.45">
      <c r="A652" s="21"/>
    </row>
  </sheetData>
  <conditionalFormatting sqref="M2 I1:I1048576">
    <cfRule type="cellIs" dxfId="7" priority="98" operator="equal">
      <formula>"Failed"</formula>
    </cfRule>
    <cfRule type="cellIs" dxfId="6" priority="99" operator="equal">
      <formula>"Not Run"</formula>
    </cfRule>
    <cfRule type="cellIs" dxfId="5" priority="100" operator="equal">
      <formula>"Passed"</formula>
    </cfRule>
  </conditionalFormatting>
  <conditionalFormatting sqref="I2:I993">
    <cfRule type="containsText" dxfId="4" priority="97" operator="containsText" text="Blocked">
      <formula>NOT(ISERROR(SEARCH("Blocked",I2)))</formula>
    </cfRule>
  </conditionalFormatting>
  <dataValidations count="5">
    <dataValidation type="list" allowBlank="1" showInputMessage="1" showErrorMessage="1" sqref="M2" xr:uid="{58EA3966-4C3C-41F7-9DA5-F189CD21440C}">
      <formula1>"Correct,Incorrect,Suggestion"</formula1>
    </dataValidation>
    <dataValidation type="list" allowBlank="1" showInputMessage="1" showErrorMessage="1" sqref="C2" xr:uid="{0B8B054C-2E5B-44BD-80E9-47ACF897B1BD}">
      <formula1>"Observation, Header, Enfd of File"</formula1>
    </dataValidation>
    <dataValidation type="list" allowBlank="1" showInputMessage="1" showErrorMessage="1" sqref="I2:I646" xr:uid="{A9AFFCDC-5488-475A-8998-7E897BB1C269}">
      <formula1>"Passed,Failed,Blocked,Not Run"</formula1>
    </dataValidation>
    <dataValidation type="list" allowBlank="1" showInputMessage="1" showErrorMessage="1" sqref="I647:I1048576" xr:uid="{9896B8E3-B718-4222-9CD9-60A2E6F70660}">
      <formula1>"Correct,Incorrect,Suggestion,Can't Tested"</formula1>
    </dataValidation>
    <dataValidation type="list" allowBlank="1" showInputMessage="1" showErrorMessage="1" sqref="B2:B7" xr:uid="{5D4F0560-692D-4182-BC21-23408C0AEB7D}">
      <formula1>"Observation, Header, End of File"</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41185-A0CD-4021-89DC-9A18E144AEF9}">
  <dimension ref="A1:Y652"/>
  <sheetViews>
    <sheetView tabSelected="1" topLeftCell="G1" zoomScale="70" zoomScaleNormal="70" workbookViewId="0">
      <pane ySplit="1" topLeftCell="A2" activePane="bottomLeft" state="frozen"/>
      <selection pane="bottomLeft" activeCell="J18" sqref="J18"/>
    </sheetView>
  </sheetViews>
  <sheetFormatPr defaultRowHeight="14.25" x14ac:dyDescent="0.45"/>
  <cols>
    <col min="1" max="1" width="8.73046875" customWidth="1"/>
    <col min="2" max="2" width="16.3984375" style="29" customWidth="1"/>
    <col min="3" max="3" width="27" style="2" customWidth="1"/>
    <col min="4" max="4" width="40.86328125" style="3" customWidth="1"/>
    <col min="5" max="6" width="28" style="3" customWidth="1"/>
    <col min="7" max="7" width="27.6640625" style="3" customWidth="1"/>
    <col min="8" max="8" width="36.1328125" style="3" customWidth="1"/>
    <col min="9" max="9" width="19.59765625" style="3" customWidth="1"/>
    <col min="10" max="12" width="23.1328125" style="3" customWidth="1"/>
    <col min="13" max="13" width="23.59765625" customWidth="1"/>
    <col min="14" max="14" width="18.73046875" customWidth="1"/>
    <col min="15" max="25" width="0" hidden="1" customWidth="1"/>
  </cols>
  <sheetData>
    <row r="1" spans="1:25" s="2" customFormat="1" ht="24.75" x14ac:dyDescent="0.45">
      <c r="A1" s="15" t="s">
        <v>3</v>
      </c>
      <c r="B1" s="15" t="s">
        <v>6</v>
      </c>
      <c r="C1" s="15" t="s">
        <v>36</v>
      </c>
      <c r="D1" s="15" t="s">
        <v>0</v>
      </c>
      <c r="E1" s="26" t="s">
        <v>46</v>
      </c>
      <c r="F1" s="15" t="s">
        <v>1</v>
      </c>
      <c r="G1" s="15" t="s">
        <v>2</v>
      </c>
      <c r="H1" s="15" t="s">
        <v>7</v>
      </c>
      <c r="I1" s="16" t="s">
        <v>5</v>
      </c>
      <c r="J1" s="27" t="s">
        <v>33</v>
      </c>
      <c r="K1" s="14" t="s">
        <v>32</v>
      </c>
      <c r="L1" s="17" t="s">
        <v>5</v>
      </c>
      <c r="M1" s="13" t="s">
        <v>33</v>
      </c>
      <c r="N1" s="17" t="s">
        <v>32</v>
      </c>
      <c r="O1" s="1"/>
      <c r="P1" s="1"/>
      <c r="Q1" s="1"/>
      <c r="R1" s="1"/>
      <c r="S1" s="1"/>
      <c r="T1" s="1"/>
      <c r="U1" s="1"/>
      <c r="V1" s="1"/>
      <c r="W1" s="1"/>
      <c r="X1" s="1"/>
      <c r="Y1" s="1"/>
    </row>
    <row r="2" spans="1:25" x14ac:dyDescent="0.45">
      <c r="A2" s="19"/>
      <c r="B2" s="28" t="s">
        <v>34</v>
      </c>
      <c r="C2" s="22"/>
      <c r="D2" s="18" t="s">
        <v>576</v>
      </c>
      <c r="M2" s="3"/>
    </row>
    <row r="3" spans="1:25" ht="171" x14ac:dyDescent="0.45">
      <c r="A3" s="20" t="str">
        <f>"TC"&amp;TEXT(ROW(A1)+99,"00")</f>
        <v>TC100</v>
      </c>
      <c r="B3" s="28" t="s">
        <v>31</v>
      </c>
      <c r="C3" s="24" t="s">
        <v>577</v>
      </c>
      <c r="D3" s="3" t="s">
        <v>578</v>
      </c>
      <c r="E3" s="3" t="s">
        <v>579</v>
      </c>
      <c r="F3" s="3" t="s">
        <v>590</v>
      </c>
      <c r="G3" s="3" t="s">
        <v>580</v>
      </c>
      <c r="H3" s="3" t="s">
        <v>581</v>
      </c>
      <c r="I3" s="3" t="s">
        <v>642</v>
      </c>
      <c r="J3" s="3" t="s">
        <v>582</v>
      </c>
      <c r="K3" s="23" t="s">
        <v>639</v>
      </c>
    </row>
    <row r="4" spans="1:25" ht="142.5" x14ac:dyDescent="0.45">
      <c r="A4" s="20" t="str">
        <f t="shared" ref="A4:A13" si="0">"TC"&amp;TEXT(ROW(A2)+99,"00")</f>
        <v>TC101</v>
      </c>
      <c r="B4" s="28" t="s">
        <v>31</v>
      </c>
      <c r="C4" s="24" t="s">
        <v>577</v>
      </c>
      <c r="D4" s="3" t="s">
        <v>583</v>
      </c>
      <c r="E4" s="3" t="s">
        <v>579</v>
      </c>
      <c r="F4" s="3" t="s">
        <v>589</v>
      </c>
      <c r="G4" s="3" t="s">
        <v>584</v>
      </c>
      <c r="H4" s="3" t="s">
        <v>585</v>
      </c>
      <c r="I4" s="3" t="s">
        <v>643</v>
      </c>
      <c r="J4" s="3" t="s">
        <v>586</v>
      </c>
      <c r="K4" s="3" t="s">
        <v>63</v>
      </c>
    </row>
    <row r="5" spans="1:25" ht="142.5" x14ac:dyDescent="0.45">
      <c r="A5" s="20" t="str">
        <f t="shared" si="0"/>
        <v>TC102</v>
      </c>
      <c r="B5" s="28" t="s">
        <v>31</v>
      </c>
      <c r="C5" s="24" t="s">
        <v>577</v>
      </c>
      <c r="D5" s="3" t="s">
        <v>587</v>
      </c>
      <c r="E5" s="3" t="s">
        <v>579</v>
      </c>
      <c r="F5" s="3" t="s">
        <v>588</v>
      </c>
      <c r="G5" s="3" t="s">
        <v>591</v>
      </c>
      <c r="H5" s="3" t="s">
        <v>592</v>
      </c>
      <c r="I5" s="3" t="s">
        <v>643</v>
      </c>
      <c r="J5" s="3" t="s">
        <v>593</v>
      </c>
      <c r="K5" s="23" t="s">
        <v>63</v>
      </c>
    </row>
    <row r="6" spans="1:25" ht="157.9" customHeight="1" x14ac:dyDescent="0.45">
      <c r="A6" s="20" t="str">
        <f t="shared" si="0"/>
        <v>TC103</v>
      </c>
      <c r="B6" s="28" t="s">
        <v>31</v>
      </c>
      <c r="C6" s="24" t="s">
        <v>577</v>
      </c>
      <c r="D6" s="3" t="s">
        <v>594</v>
      </c>
      <c r="E6" s="3" t="s">
        <v>579</v>
      </c>
      <c r="F6" s="3" t="s">
        <v>595</v>
      </c>
      <c r="G6" s="3" t="s">
        <v>596</v>
      </c>
      <c r="H6" s="3" t="s">
        <v>592</v>
      </c>
      <c r="I6" s="3" t="s">
        <v>643</v>
      </c>
      <c r="J6" s="3" t="s">
        <v>597</v>
      </c>
      <c r="K6" s="3" t="s">
        <v>63</v>
      </c>
    </row>
    <row r="7" spans="1:25" ht="156.75" customHeight="1" x14ac:dyDescent="0.45">
      <c r="A7" s="20" t="str">
        <f t="shared" si="0"/>
        <v>TC104</v>
      </c>
      <c r="B7" s="28" t="s">
        <v>31</v>
      </c>
      <c r="C7" s="24" t="s">
        <v>577</v>
      </c>
      <c r="D7" s="3" t="s">
        <v>598</v>
      </c>
      <c r="E7" s="3" t="s">
        <v>579</v>
      </c>
      <c r="F7" s="3" t="s">
        <v>599</v>
      </c>
      <c r="G7" s="3" t="s">
        <v>600</v>
      </c>
      <c r="H7" s="3" t="s">
        <v>592</v>
      </c>
      <c r="I7" s="3" t="s">
        <v>642</v>
      </c>
      <c r="J7" s="3" t="s">
        <v>601</v>
      </c>
      <c r="K7" s="3" t="s">
        <v>606</v>
      </c>
    </row>
    <row r="8" spans="1:25" ht="156.75" x14ac:dyDescent="0.45">
      <c r="A8" s="20" t="str">
        <f t="shared" si="0"/>
        <v>TC105</v>
      </c>
      <c r="B8" s="28" t="s">
        <v>31</v>
      </c>
      <c r="C8" s="24" t="s">
        <v>577</v>
      </c>
      <c r="D8" s="3" t="s">
        <v>602</v>
      </c>
      <c r="E8" s="3" t="s">
        <v>579</v>
      </c>
      <c r="F8" s="3" t="s">
        <v>603</v>
      </c>
      <c r="G8" s="3" t="s">
        <v>604</v>
      </c>
      <c r="H8" s="3" t="s">
        <v>592</v>
      </c>
      <c r="I8" s="3" t="s">
        <v>642</v>
      </c>
      <c r="J8" s="3" t="s">
        <v>605</v>
      </c>
      <c r="K8" s="3" t="s">
        <v>611</v>
      </c>
    </row>
    <row r="9" spans="1:25" ht="148.5" customHeight="1" x14ac:dyDescent="0.45">
      <c r="A9" s="20" t="str">
        <f t="shared" si="0"/>
        <v>TC106</v>
      </c>
      <c r="B9" s="28" t="s">
        <v>31</v>
      </c>
      <c r="C9" s="24" t="s">
        <v>577</v>
      </c>
      <c r="D9" s="3" t="s">
        <v>607</v>
      </c>
      <c r="E9" s="3" t="s">
        <v>579</v>
      </c>
      <c r="F9" s="3" t="s">
        <v>608</v>
      </c>
      <c r="G9" s="3" t="s">
        <v>609</v>
      </c>
      <c r="H9" s="3" t="s">
        <v>592</v>
      </c>
      <c r="I9" s="3" t="s">
        <v>642</v>
      </c>
      <c r="J9" s="3" t="s">
        <v>610</v>
      </c>
      <c r="K9" s="3" t="s">
        <v>617</v>
      </c>
    </row>
    <row r="10" spans="1:25" ht="142.5" x14ac:dyDescent="0.45">
      <c r="A10" s="20" t="str">
        <f t="shared" si="0"/>
        <v>TC107</v>
      </c>
      <c r="B10" s="28" t="s">
        <v>31</v>
      </c>
      <c r="C10" s="24" t="s">
        <v>577</v>
      </c>
      <c r="D10" s="3" t="s">
        <v>612</v>
      </c>
      <c r="E10" s="3" t="s">
        <v>579</v>
      </c>
      <c r="F10" s="3" t="s">
        <v>615</v>
      </c>
      <c r="G10" s="3" t="s">
        <v>613</v>
      </c>
      <c r="H10" s="3" t="s">
        <v>614</v>
      </c>
      <c r="I10" s="3" t="s">
        <v>642</v>
      </c>
      <c r="J10" s="3" t="s">
        <v>616</v>
      </c>
      <c r="K10" s="3" t="s">
        <v>623</v>
      </c>
    </row>
    <row r="11" spans="1:25" ht="142.5" x14ac:dyDescent="0.45">
      <c r="A11" s="20" t="str">
        <f t="shared" si="0"/>
        <v>TC108</v>
      </c>
      <c r="B11" s="28" t="s">
        <v>31</v>
      </c>
      <c r="C11" s="24" t="s">
        <v>577</v>
      </c>
      <c r="D11" s="3" t="s">
        <v>618</v>
      </c>
      <c r="E11" s="3" t="s">
        <v>579</v>
      </c>
      <c r="F11" s="3" t="s">
        <v>620</v>
      </c>
      <c r="G11" s="3" t="s">
        <v>619</v>
      </c>
      <c r="H11" s="3" t="s">
        <v>621</v>
      </c>
      <c r="I11" s="3" t="s">
        <v>642</v>
      </c>
      <c r="J11" s="3" t="s">
        <v>622</v>
      </c>
      <c r="K11" s="3" t="s">
        <v>638</v>
      </c>
    </row>
    <row r="12" spans="1:25" ht="114" x14ac:dyDescent="0.45">
      <c r="A12" s="20" t="str">
        <f t="shared" si="0"/>
        <v>TC109</v>
      </c>
      <c r="B12" s="28" t="s">
        <v>31</v>
      </c>
      <c r="C12" s="24" t="s">
        <v>577</v>
      </c>
      <c r="D12" s="3" t="s">
        <v>624</v>
      </c>
      <c r="E12" s="3" t="s">
        <v>579</v>
      </c>
      <c r="F12" s="3" t="s">
        <v>625</v>
      </c>
      <c r="G12" s="3" t="s">
        <v>626</v>
      </c>
      <c r="H12" s="3" t="s">
        <v>627</v>
      </c>
      <c r="I12" s="3" t="s">
        <v>643</v>
      </c>
      <c r="J12" s="3" t="s">
        <v>628</v>
      </c>
      <c r="K12" s="3" t="s">
        <v>63</v>
      </c>
    </row>
    <row r="13" spans="1:25" ht="142.5" x14ac:dyDescent="0.45">
      <c r="A13" s="20" t="str">
        <f t="shared" si="0"/>
        <v>TC110</v>
      </c>
      <c r="B13" s="28" t="s">
        <v>31</v>
      </c>
      <c r="C13" s="24" t="s">
        <v>577</v>
      </c>
      <c r="D13" s="3" t="s">
        <v>629</v>
      </c>
      <c r="E13" s="3" t="s">
        <v>632</v>
      </c>
      <c r="F13" s="3" t="s">
        <v>630</v>
      </c>
      <c r="G13" s="3" t="s">
        <v>631</v>
      </c>
      <c r="H13" s="3" t="s">
        <v>633</v>
      </c>
      <c r="I13" s="3" t="s">
        <v>642</v>
      </c>
      <c r="J13" s="3" t="s">
        <v>634</v>
      </c>
      <c r="K13" s="3" t="s">
        <v>637</v>
      </c>
    </row>
    <row r="14" spans="1:25" x14ac:dyDescent="0.45">
      <c r="A14" s="3"/>
      <c r="B14"/>
      <c r="C14"/>
      <c r="D14"/>
      <c r="E14"/>
      <c r="F14"/>
      <c r="G14"/>
      <c r="H14"/>
      <c r="J14"/>
      <c r="K14"/>
      <c r="L14"/>
    </row>
    <row r="15" spans="1:25" x14ac:dyDescent="0.45">
      <c r="A15" s="3"/>
      <c r="B15"/>
      <c r="C15"/>
      <c r="D15"/>
      <c r="E15"/>
      <c r="F15"/>
      <c r="G15"/>
      <c r="H15"/>
      <c r="J15"/>
      <c r="K15"/>
      <c r="L15"/>
    </row>
    <row r="16" spans="1:25" x14ac:dyDescent="0.45">
      <c r="A16" s="3"/>
      <c r="B16"/>
      <c r="C16"/>
      <c r="D16"/>
      <c r="E16"/>
      <c r="F16"/>
      <c r="G16"/>
      <c r="H16"/>
      <c r="J16">
        <f>COUNTIF(I:I,"Passed")</f>
        <v>4</v>
      </c>
      <c r="K16" s="3" t="s">
        <v>644</v>
      </c>
      <c r="L16"/>
    </row>
    <row r="17" spans="1:12" x14ac:dyDescent="0.45">
      <c r="A17" s="3"/>
      <c r="B17"/>
      <c r="C17"/>
      <c r="D17"/>
      <c r="E17"/>
      <c r="F17"/>
      <c r="G17"/>
      <c r="H17"/>
      <c r="J17">
        <f>COUNTIF(I:I,"Failed")</f>
        <v>7</v>
      </c>
      <c r="K17" s="3" t="s">
        <v>645</v>
      </c>
      <c r="L17"/>
    </row>
    <row r="18" spans="1:12" x14ac:dyDescent="0.45">
      <c r="A18" s="3"/>
      <c r="B18"/>
      <c r="C18"/>
      <c r="D18"/>
      <c r="E18"/>
      <c r="F18"/>
      <c r="G18"/>
      <c r="H18"/>
      <c r="J18"/>
      <c r="K18"/>
      <c r="L18"/>
    </row>
    <row r="19" spans="1:12" x14ac:dyDescent="0.45">
      <c r="A19" s="3"/>
      <c r="B19"/>
      <c r="C19"/>
      <c r="D19"/>
      <c r="E19"/>
      <c r="F19"/>
      <c r="G19"/>
      <c r="H19"/>
      <c r="J19"/>
      <c r="K19"/>
      <c r="L19"/>
    </row>
    <row r="20" spans="1:12" x14ac:dyDescent="0.45">
      <c r="A20" s="3"/>
      <c r="B20"/>
      <c r="C20"/>
      <c r="D20"/>
      <c r="E20"/>
      <c r="F20"/>
      <c r="G20"/>
      <c r="H20"/>
      <c r="J20"/>
      <c r="K20"/>
      <c r="L20"/>
    </row>
    <row r="21" spans="1:12" x14ac:dyDescent="0.45">
      <c r="A21" s="3"/>
      <c r="B21"/>
      <c r="C21"/>
      <c r="D21"/>
      <c r="E21"/>
      <c r="F21"/>
      <c r="G21"/>
      <c r="H21"/>
      <c r="J21"/>
      <c r="K21"/>
      <c r="L21"/>
    </row>
    <row r="22" spans="1:12" x14ac:dyDescent="0.45">
      <c r="A22" s="3"/>
      <c r="B22"/>
      <c r="C22"/>
      <c r="D22"/>
      <c r="E22"/>
      <c r="F22"/>
      <c r="G22"/>
      <c r="H22"/>
      <c r="J22"/>
      <c r="K22"/>
      <c r="L22"/>
    </row>
    <row r="23" spans="1:12" x14ac:dyDescent="0.45">
      <c r="A23" s="3"/>
      <c r="B23"/>
      <c r="C23"/>
      <c r="D23"/>
      <c r="E23"/>
      <c r="F23"/>
      <c r="G23"/>
      <c r="H23"/>
      <c r="J23"/>
      <c r="K23"/>
      <c r="L23"/>
    </row>
    <row r="24" spans="1:12" x14ac:dyDescent="0.45">
      <c r="A24" s="3"/>
      <c r="B24"/>
      <c r="C24"/>
      <c r="D24"/>
      <c r="E24"/>
      <c r="F24"/>
      <c r="G24"/>
      <c r="H24"/>
      <c r="J24"/>
      <c r="K24"/>
      <c r="L24"/>
    </row>
    <row r="25" spans="1:12" x14ac:dyDescent="0.45">
      <c r="A25" s="3"/>
      <c r="B25"/>
      <c r="C25"/>
      <c r="D25"/>
      <c r="E25"/>
      <c r="F25"/>
      <c r="G25"/>
      <c r="H25"/>
      <c r="J25"/>
      <c r="K25"/>
      <c r="L25"/>
    </row>
    <row r="26" spans="1:12" x14ac:dyDescent="0.45">
      <c r="A26" s="3"/>
      <c r="B26"/>
      <c r="C26"/>
      <c r="D26"/>
      <c r="E26"/>
      <c r="F26"/>
      <c r="G26"/>
      <c r="H26"/>
      <c r="J26"/>
      <c r="K26"/>
      <c r="L26"/>
    </row>
    <row r="27" spans="1:12" x14ac:dyDescent="0.45">
      <c r="A27" s="3"/>
      <c r="B27"/>
      <c r="C27"/>
      <c r="D27"/>
      <c r="E27"/>
      <c r="F27"/>
      <c r="G27"/>
      <c r="H27"/>
      <c r="J27"/>
      <c r="K27"/>
      <c r="L27"/>
    </row>
    <row r="28" spans="1:12" x14ac:dyDescent="0.45">
      <c r="A28" s="3"/>
      <c r="B28"/>
      <c r="C28"/>
      <c r="D28"/>
      <c r="E28"/>
      <c r="F28"/>
      <c r="G28"/>
      <c r="H28"/>
      <c r="J28"/>
      <c r="K28"/>
      <c r="L28"/>
    </row>
    <row r="29" spans="1:12" x14ac:dyDescent="0.45">
      <c r="A29" s="3"/>
      <c r="B29"/>
      <c r="C29"/>
      <c r="D29"/>
      <c r="E29"/>
      <c r="F29"/>
      <c r="G29"/>
      <c r="H29"/>
      <c r="J29"/>
      <c r="K29"/>
      <c r="L29"/>
    </row>
    <row r="30" spans="1:12" x14ac:dyDescent="0.45">
      <c r="A30" s="3"/>
      <c r="B30"/>
      <c r="C30"/>
      <c r="D30"/>
      <c r="E30"/>
      <c r="F30"/>
      <c r="G30"/>
      <c r="H30"/>
      <c r="J30"/>
      <c r="K30"/>
      <c r="L30"/>
    </row>
    <row r="31" spans="1:12" x14ac:dyDescent="0.45">
      <c r="A31" s="3"/>
      <c r="B31"/>
      <c r="C31"/>
      <c r="D31"/>
      <c r="E31"/>
      <c r="F31"/>
      <c r="G31"/>
      <c r="H31"/>
      <c r="J31"/>
      <c r="K31"/>
      <c r="L31"/>
    </row>
    <row r="32" spans="1:12" x14ac:dyDescent="0.45">
      <c r="A32" s="3"/>
      <c r="B32"/>
      <c r="C32"/>
      <c r="D32"/>
      <c r="E32"/>
      <c r="F32"/>
      <c r="G32"/>
      <c r="H32"/>
      <c r="J32"/>
      <c r="K32"/>
      <c r="L32"/>
    </row>
    <row r="33" spans="1:12" x14ac:dyDescent="0.45">
      <c r="A33" s="3"/>
      <c r="B33"/>
      <c r="C33"/>
      <c r="D33"/>
      <c r="E33"/>
      <c r="F33"/>
      <c r="G33"/>
      <c r="H33"/>
      <c r="J33"/>
      <c r="K33"/>
      <c r="L33"/>
    </row>
    <row r="34" spans="1:12" x14ac:dyDescent="0.45">
      <c r="A34" s="3"/>
      <c r="B34"/>
      <c r="C34"/>
      <c r="D34"/>
      <c r="E34"/>
      <c r="F34"/>
      <c r="G34"/>
      <c r="H34"/>
      <c r="J34"/>
      <c r="K34"/>
      <c r="L34"/>
    </row>
    <row r="35" spans="1:12" x14ac:dyDescent="0.45">
      <c r="A35" s="3"/>
      <c r="B35"/>
      <c r="C35"/>
      <c r="D35"/>
      <c r="E35"/>
      <c r="F35"/>
      <c r="G35"/>
      <c r="H35"/>
      <c r="J35"/>
      <c r="K35"/>
      <c r="L35"/>
    </row>
    <row r="36" spans="1:12" x14ac:dyDescent="0.45">
      <c r="A36" s="3"/>
      <c r="B36"/>
      <c r="C36"/>
      <c r="D36"/>
      <c r="E36"/>
      <c r="F36"/>
      <c r="G36"/>
      <c r="H36"/>
      <c r="J36"/>
      <c r="K36"/>
      <c r="L36"/>
    </row>
    <row r="37" spans="1:12" x14ac:dyDescent="0.45">
      <c r="A37" s="3"/>
      <c r="B37"/>
      <c r="C37"/>
      <c r="D37"/>
      <c r="E37"/>
      <c r="F37"/>
      <c r="G37"/>
      <c r="H37"/>
      <c r="J37"/>
      <c r="K37"/>
      <c r="L37"/>
    </row>
    <row r="38" spans="1:12" x14ac:dyDescent="0.45">
      <c r="A38" s="3"/>
      <c r="B38"/>
      <c r="C38"/>
      <c r="D38"/>
      <c r="E38"/>
      <c r="F38"/>
      <c r="G38"/>
      <c r="H38"/>
      <c r="J38"/>
      <c r="K38"/>
      <c r="L38"/>
    </row>
    <row r="39" spans="1:12" x14ac:dyDescent="0.45">
      <c r="B39"/>
      <c r="C39"/>
      <c r="D39"/>
      <c r="E39"/>
      <c r="F39"/>
      <c r="G39"/>
      <c r="H39"/>
      <c r="J39"/>
      <c r="K39"/>
      <c r="L39"/>
    </row>
    <row r="40" spans="1:12" x14ac:dyDescent="0.45">
      <c r="B40"/>
      <c r="C40"/>
      <c r="D40"/>
      <c r="E40"/>
      <c r="F40"/>
      <c r="G40"/>
      <c r="H40"/>
      <c r="J40"/>
      <c r="K40"/>
      <c r="L40"/>
    </row>
    <row r="41" spans="1:12" x14ac:dyDescent="0.45">
      <c r="B41"/>
      <c r="C41"/>
      <c r="D41"/>
      <c r="E41"/>
      <c r="F41"/>
      <c r="G41"/>
      <c r="H41"/>
      <c r="J41"/>
      <c r="K41"/>
      <c r="L41"/>
    </row>
    <row r="42" spans="1:12" x14ac:dyDescent="0.45">
      <c r="B42"/>
      <c r="C42"/>
      <c r="D42"/>
      <c r="E42"/>
      <c r="F42"/>
      <c r="G42"/>
      <c r="H42"/>
      <c r="J42"/>
      <c r="K42"/>
      <c r="L42"/>
    </row>
    <row r="43" spans="1:12" x14ac:dyDescent="0.45">
      <c r="A43" s="3"/>
      <c r="B43"/>
      <c r="C43"/>
      <c r="D43"/>
      <c r="E43"/>
      <c r="F43"/>
      <c r="G43"/>
      <c r="H43"/>
      <c r="J43"/>
      <c r="K43"/>
      <c r="L43"/>
    </row>
    <row r="44" spans="1:12" x14ac:dyDescent="0.45">
      <c r="A44" s="3"/>
      <c r="B44"/>
      <c r="C44"/>
      <c r="D44"/>
      <c r="E44"/>
      <c r="F44"/>
      <c r="G44"/>
      <c r="H44"/>
      <c r="J44"/>
      <c r="K44"/>
      <c r="L44"/>
    </row>
    <row r="45" spans="1:12" x14ac:dyDescent="0.45">
      <c r="A45" s="3"/>
      <c r="B45"/>
      <c r="C45"/>
      <c r="D45"/>
      <c r="E45"/>
      <c r="F45"/>
      <c r="G45"/>
      <c r="H45"/>
      <c r="J45"/>
      <c r="K45"/>
      <c r="L45"/>
    </row>
    <row r="46" spans="1:12" x14ac:dyDescent="0.45">
      <c r="A46" s="3"/>
      <c r="B46"/>
      <c r="C46"/>
      <c r="D46"/>
      <c r="E46"/>
      <c r="F46"/>
      <c r="G46"/>
      <c r="H46"/>
      <c r="J46"/>
      <c r="K46"/>
      <c r="L46"/>
    </row>
    <row r="47" spans="1:12" x14ac:dyDescent="0.45">
      <c r="A47" s="3"/>
      <c r="B47"/>
      <c r="C47"/>
      <c r="D47"/>
      <c r="E47"/>
      <c r="F47"/>
      <c r="G47"/>
      <c r="H47"/>
      <c r="J47"/>
      <c r="K47"/>
      <c r="L47"/>
    </row>
    <row r="48" spans="1:12" x14ac:dyDescent="0.45">
      <c r="A48" s="3"/>
      <c r="B48"/>
      <c r="C48"/>
      <c r="D48"/>
      <c r="E48"/>
      <c r="F48"/>
      <c r="G48"/>
      <c r="H48"/>
      <c r="J48"/>
      <c r="K48"/>
      <c r="L48"/>
    </row>
    <row r="49" spans="1:12" x14ac:dyDescent="0.45">
      <c r="A49" s="3"/>
      <c r="B49"/>
      <c r="C49"/>
      <c r="D49"/>
      <c r="E49"/>
      <c r="F49"/>
      <c r="G49"/>
      <c r="H49"/>
      <c r="J49"/>
      <c r="K49"/>
      <c r="L49"/>
    </row>
    <row r="50" spans="1:12" x14ac:dyDescent="0.45">
      <c r="A50" s="3"/>
      <c r="B50"/>
      <c r="C50"/>
      <c r="D50"/>
      <c r="E50"/>
      <c r="F50"/>
      <c r="G50"/>
      <c r="H50"/>
      <c r="J50"/>
      <c r="K50"/>
      <c r="L50"/>
    </row>
    <row r="51" spans="1:12" x14ac:dyDescent="0.45">
      <c r="A51" s="3"/>
      <c r="B51"/>
      <c r="C51"/>
      <c r="D51"/>
      <c r="E51"/>
      <c r="F51"/>
      <c r="G51"/>
      <c r="H51"/>
      <c r="J51"/>
      <c r="K51"/>
      <c r="L51"/>
    </row>
    <row r="52" spans="1:12" x14ac:dyDescent="0.45">
      <c r="A52" s="3"/>
      <c r="B52"/>
      <c r="C52"/>
      <c r="D52"/>
      <c r="E52"/>
      <c r="F52"/>
      <c r="G52"/>
      <c r="H52"/>
      <c r="J52"/>
      <c r="K52"/>
      <c r="L52"/>
    </row>
    <row r="53" spans="1:12" x14ac:dyDescent="0.45">
      <c r="A53" s="3"/>
      <c r="B53"/>
      <c r="C53"/>
      <c r="D53"/>
      <c r="E53"/>
      <c r="F53"/>
      <c r="G53"/>
      <c r="H53"/>
      <c r="J53"/>
      <c r="K53"/>
      <c r="L53"/>
    </row>
    <row r="54" spans="1:12" x14ac:dyDescent="0.45">
      <c r="A54" s="3"/>
      <c r="B54"/>
      <c r="C54"/>
      <c r="D54"/>
      <c r="E54"/>
      <c r="F54"/>
      <c r="G54"/>
      <c r="H54"/>
      <c r="J54"/>
      <c r="K54"/>
      <c r="L54"/>
    </row>
    <row r="55" spans="1:12" x14ac:dyDescent="0.45">
      <c r="A55" s="3"/>
      <c r="B55"/>
      <c r="C55"/>
      <c r="D55"/>
      <c r="E55"/>
      <c r="F55"/>
      <c r="G55"/>
      <c r="H55"/>
      <c r="J55"/>
      <c r="K55"/>
      <c r="L55"/>
    </row>
    <row r="56" spans="1:12" x14ac:dyDescent="0.45">
      <c r="A56" s="3"/>
      <c r="B56"/>
      <c r="C56"/>
      <c r="D56"/>
      <c r="E56"/>
      <c r="F56"/>
      <c r="G56"/>
      <c r="H56"/>
      <c r="J56"/>
      <c r="K56"/>
      <c r="L56"/>
    </row>
    <row r="57" spans="1:12" x14ac:dyDescent="0.45">
      <c r="A57" s="3"/>
      <c r="B57"/>
      <c r="C57"/>
      <c r="D57"/>
      <c r="E57"/>
      <c r="F57"/>
      <c r="G57"/>
      <c r="H57"/>
      <c r="J57"/>
      <c r="K57"/>
      <c r="L57"/>
    </row>
    <row r="58" spans="1:12" x14ac:dyDescent="0.45">
      <c r="A58" s="3"/>
      <c r="B58"/>
      <c r="C58"/>
      <c r="D58"/>
      <c r="E58"/>
      <c r="F58"/>
      <c r="G58"/>
      <c r="H58"/>
      <c r="J58"/>
      <c r="K58"/>
      <c r="L58"/>
    </row>
    <row r="59" spans="1:12" x14ac:dyDescent="0.45">
      <c r="A59" s="3"/>
      <c r="B59"/>
      <c r="C59"/>
      <c r="D59"/>
      <c r="E59"/>
      <c r="F59"/>
      <c r="G59"/>
      <c r="H59"/>
      <c r="J59"/>
      <c r="K59"/>
      <c r="L59"/>
    </row>
    <row r="60" spans="1:12" x14ac:dyDescent="0.45">
      <c r="A60" s="3"/>
      <c r="B60"/>
      <c r="C60"/>
      <c r="D60"/>
      <c r="E60"/>
      <c r="F60"/>
      <c r="G60"/>
      <c r="H60"/>
      <c r="J60"/>
      <c r="K60"/>
      <c r="L60"/>
    </row>
    <row r="61" spans="1:12" x14ac:dyDescent="0.45">
      <c r="A61" s="3"/>
      <c r="B61"/>
      <c r="C61"/>
      <c r="D61"/>
      <c r="E61"/>
      <c r="F61"/>
      <c r="G61"/>
      <c r="H61"/>
      <c r="J61"/>
      <c r="K61"/>
      <c r="L61"/>
    </row>
    <row r="62" spans="1:12" x14ac:dyDescent="0.45">
      <c r="A62" s="3"/>
      <c r="B62"/>
      <c r="C62"/>
      <c r="D62"/>
      <c r="E62"/>
      <c r="F62"/>
      <c r="G62"/>
      <c r="H62"/>
      <c r="J62"/>
      <c r="K62"/>
      <c r="L62"/>
    </row>
    <row r="63" spans="1:12" x14ac:dyDescent="0.45">
      <c r="A63" s="3"/>
      <c r="B63"/>
      <c r="C63"/>
      <c r="D63"/>
      <c r="E63"/>
      <c r="F63"/>
      <c r="G63"/>
      <c r="H63"/>
      <c r="J63"/>
      <c r="K63"/>
      <c r="L63"/>
    </row>
    <row r="64" spans="1:12" x14ac:dyDescent="0.45">
      <c r="A64" s="3"/>
      <c r="B64"/>
      <c r="C64"/>
      <c r="D64"/>
      <c r="E64"/>
      <c r="F64"/>
      <c r="G64"/>
      <c r="H64"/>
      <c r="J64"/>
      <c r="K64"/>
      <c r="L64"/>
    </row>
    <row r="65" spans="1:12" x14ac:dyDescent="0.45">
      <c r="A65" s="3"/>
      <c r="B65"/>
      <c r="C65"/>
      <c r="D65"/>
      <c r="E65"/>
      <c r="F65"/>
      <c r="G65"/>
      <c r="H65"/>
      <c r="J65"/>
      <c r="K65"/>
      <c r="L65"/>
    </row>
    <row r="66" spans="1:12" x14ac:dyDescent="0.45">
      <c r="A66" s="3"/>
      <c r="B66"/>
      <c r="C66"/>
      <c r="D66"/>
      <c r="E66"/>
      <c r="F66"/>
      <c r="G66"/>
      <c r="H66"/>
      <c r="J66"/>
      <c r="K66"/>
      <c r="L66"/>
    </row>
    <row r="67" spans="1:12" x14ac:dyDescent="0.45">
      <c r="A67" s="3"/>
      <c r="B67"/>
      <c r="C67"/>
      <c r="D67"/>
      <c r="E67"/>
      <c r="F67"/>
      <c r="G67"/>
      <c r="H67"/>
      <c r="J67"/>
      <c r="K67"/>
      <c r="L67"/>
    </row>
    <row r="68" spans="1:12" x14ac:dyDescent="0.45">
      <c r="A68" s="3"/>
      <c r="B68"/>
      <c r="C68"/>
      <c r="D68"/>
      <c r="E68"/>
      <c r="F68"/>
      <c r="G68"/>
      <c r="H68"/>
      <c r="J68"/>
      <c r="K68"/>
      <c r="L68"/>
    </row>
    <row r="69" spans="1:12" x14ac:dyDescent="0.45">
      <c r="A69" s="3"/>
      <c r="B69"/>
      <c r="C69"/>
      <c r="D69"/>
      <c r="E69"/>
      <c r="F69"/>
      <c r="G69"/>
      <c r="H69"/>
      <c r="J69"/>
      <c r="K69"/>
      <c r="L69"/>
    </row>
    <row r="70" spans="1:12" x14ac:dyDescent="0.45">
      <c r="A70" s="3"/>
      <c r="B70"/>
      <c r="C70"/>
      <c r="D70"/>
      <c r="E70"/>
      <c r="F70"/>
      <c r="G70"/>
      <c r="H70"/>
      <c r="J70"/>
      <c r="K70"/>
      <c r="L70"/>
    </row>
    <row r="71" spans="1:12" x14ac:dyDescent="0.45">
      <c r="A71" s="3"/>
      <c r="B71"/>
      <c r="C71"/>
      <c r="D71"/>
      <c r="E71"/>
      <c r="F71"/>
      <c r="G71"/>
      <c r="H71"/>
      <c r="J71"/>
      <c r="K71"/>
      <c r="L71"/>
    </row>
    <row r="72" spans="1:12" x14ac:dyDescent="0.45">
      <c r="A72" s="3"/>
      <c r="B72"/>
      <c r="C72"/>
      <c r="D72"/>
      <c r="E72"/>
      <c r="F72"/>
      <c r="G72"/>
      <c r="H72"/>
      <c r="J72"/>
      <c r="K72"/>
      <c r="L72"/>
    </row>
    <row r="73" spans="1:12" x14ac:dyDescent="0.45">
      <c r="A73" s="3"/>
      <c r="B73"/>
      <c r="C73"/>
      <c r="D73"/>
      <c r="E73"/>
      <c r="F73"/>
      <c r="G73"/>
      <c r="H73"/>
      <c r="J73"/>
      <c r="K73"/>
      <c r="L73"/>
    </row>
    <row r="74" spans="1:12" x14ac:dyDescent="0.45">
      <c r="A74" s="3"/>
      <c r="B74"/>
      <c r="C74"/>
      <c r="D74"/>
      <c r="E74"/>
      <c r="F74"/>
      <c r="G74"/>
      <c r="H74"/>
      <c r="J74"/>
      <c r="K74"/>
      <c r="L74"/>
    </row>
    <row r="75" spans="1:12" x14ac:dyDescent="0.45">
      <c r="A75" s="3"/>
      <c r="B75"/>
      <c r="C75"/>
      <c r="D75"/>
      <c r="E75"/>
      <c r="F75"/>
      <c r="G75"/>
      <c r="H75"/>
      <c r="J75"/>
      <c r="K75"/>
      <c r="L75"/>
    </row>
    <row r="76" spans="1:12" x14ac:dyDescent="0.45">
      <c r="A76" s="3"/>
      <c r="B76"/>
      <c r="C76"/>
      <c r="D76"/>
      <c r="E76"/>
      <c r="F76"/>
      <c r="G76"/>
      <c r="H76"/>
      <c r="J76"/>
      <c r="K76"/>
      <c r="L76"/>
    </row>
    <row r="77" spans="1:12" x14ac:dyDescent="0.45">
      <c r="A77" s="3"/>
      <c r="B77"/>
      <c r="C77"/>
      <c r="D77"/>
      <c r="E77"/>
      <c r="F77"/>
      <c r="G77"/>
      <c r="H77"/>
      <c r="J77"/>
      <c r="K77"/>
      <c r="L77"/>
    </row>
    <row r="78" spans="1:12" x14ac:dyDescent="0.45">
      <c r="A78" s="3"/>
      <c r="B78"/>
      <c r="C78"/>
      <c r="D78"/>
      <c r="E78"/>
      <c r="F78"/>
      <c r="G78"/>
      <c r="H78"/>
      <c r="J78"/>
      <c r="K78"/>
      <c r="L78"/>
    </row>
    <row r="79" spans="1:12" x14ac:dyDescent="0.45">
      <c r="A79" s="3"/>
      <c r="B79"/>
      <c r="C79"/>
      <c r="D79"/>
      <c r="E79"/>
      <c r="F79"/>
      <c r="G79"/>
      <c r="H79"/>
      <c r="J79"/>
      <c r="K79"/>
      <c r="L79"/>
    </row>
    <row r="80" spans="1:12" x14ac:dyDescent="0.45">
      <c r="A80" s="3"/>
      <c r="B80"/>
      <c r="C80"/>
      <c r="D80"/>
      <c r="E80"/>
      <c r="F80"/>
      <c r="G80"/>
      <c r="H80"/>
      <c r="J80"/>
      <c r="K80"/>
      <c r="L80"/>
    </row>
    <row r="81" spans="1:12" x14ac:dyDescent="0.45">
      <c r="A81" s="3"/>
      <c r="B81"/>
      <c r="C81"/>
      <c r="D81"/>
      <c r="E81"/>
      <c r="F81"/>
      <c r="G81"/>
      <c r="H81"/>
      <c r="J81"/>
      <c r="K81"/>
      <c r="L81"/>
    </row>
    <row r="82" spans="1:12" x14ac:dyDescent="0.45">
      <c r="A82" s="3"/>
      <c r="B82"/>
      <c r="C82"/>
      <c r="D82"/>
      <c r="E82"/>
      <c r="F82"/>
      <c r="G82"/>
      <c r="H82"/>
      <c r="J82"/>
      <c r="K82"/>
      <c r="L82"/>
    </row>
    <row r="83" spans="1:12" x14ac:dyDescent="0.45">
      <c r="A83" s="3"/>
      <c r="B83"/>
      <c r="C83"/>
      <c r="D83"/>
      <c r="E83"/>
      <c r="F83"/>
      <c r="G83"/>
      <c r="H83"/>
      <c r="J83"/>
      <c r="K83"/>
      <c r="L83"/>
    </row>
    <row r="84" spans="1:12" x14ac:dyDescent="0.45">
      <c r="A84" s="3"/>
      <c r="B84"/>
      <c r="C84"/>
      <c r="D84"/>
      <c r="E84"/>
      <c r="F84"/>
      <c r="G84"/>
      <c r="H84"/>
      <c r="J84"/>
      <c r="K84"/>
      <c r="L84"/>
    </row>
    <row r="85" spans="1:12" x14ac:dyDescent="0.45">
      <c r="A85" s="3"/>
      <c r="B85"/>
      <c r="C85"/>
      <c r="D85"/>
      <c r="E85"/>
      <c r="F85"/>
      <c r="G85"/>
      <c r="H85"/>
      <c r="J85"/>
      <c r="K85"/>
      <c r="L85"/>
    </row>
    <row r="86" spans="1:12" x14ac:dyDescent="0.45">
      <c r="A86" s="3"/>
      <c r="B86"/>
      <c r="C86"/>
      <c r="D86"/>
      <c r="E86"/>
      <c r="F86"/>
      <c r="G86"/>
      <c r="H86"/>
      <c r="J86"/>
      <c r="K86"/>
      <c r="L86"/>
    </row>
    <row r="87" spans="1:12" x14ac:dyDescent="0.45">
      <c r="A87" s="20"/>
      <c r="C87" s="25"/>
    </row>
    <row r="88" spans="1:12" x14ac:dyDescent="0.45">
      <c r="A88" s="20"/>
      <c r="C88" s="25"/>
    </row>
    <row r="89" spans="1:12" x14ac:dyDescent="0.45">
      <c r="A89" s="20"/>
      <c r="C89" s="25"/>
    </row>
    <row r="90" spans="1:12" x14ac:dyDescent="0.45">
      <c r="A90" s="20"/>
      <c r="C90" s="25"/>
    </row>
    <row r="91" spans="1:12" x14ac:dyDescent="0.45">
      <c r="A91" s="20"/>
      <c r="C91" s="25"/>
    </row>
    <row r="92" spans="1:12" x14ac:dyDescent="0.45">
      <c r="A92" s="20"/>
      <c r="C92" s="25"/>
    </row>
    <row r="93" spans="1:12" x14ac:dyDescent="0.45">
      <c r="A93" s="20"/>
      <c r="C93" s="25"/>
    </row>
    <row r="94" spans="1:12" x14ac:dyDescent="0.45">
      <c r="A94" s="20"/>
      <c r="C94" s="25"/>
    </row>
    <row r="95" spans="1:12" x14ac:dyDescent="0.45">
      <c r="A95" s="20"/>
      <c r="C95" s="25"/>
    </row>
    <row r="96" spans="1:12" x14ac:dyDescent="0.45">
      <c r="A96" s="20"/>
      <c r="C96" s="25"/>
    </row>
    <row r="97" spans="1:3" x14ac:dyDescent="0.45">
      <c r="A97" s="20"/>
      <c r="C97" s="25"/>
    </row>
    <row r="98" spans="1:3" x14ac:dyDescent="0.45">
      <c r="A98" s="20"/>
      <c r="C98" s="25"/>
    </row>
    <row r="99" spans="1:3" x14ac:dyDescent="0.45">
      <c r="A99" s="20"/>
      <c r="C99" s="25"/>
    </row>
    <row r="100" spans="1:3" x14ac:dyDescent="0.45">
      <c r="A100" s="20"/>
      <c r="C100" s="25"/>
    </row>
    <row r="101" spans="1:3" x14ac:dyDescent="0.45">
      <c r="A101" s="20"/>
      <c r="C101" s="25"/>
    </row>
    <row r="102" spans="1:3" x14ac:dyDescent="0.45">
      <c r="A102" s="20"/>
      <c r="C102" s="25"/>
    </row>
    <row r="103" spans="1:3" x14ac:dyDescent="0.45">
      <c r="A103" s="20"/>
      <c r="C103" s="25"/>
    </row>
    <row r="104" spans="1:3" x14ac:dyDescent="0.45">
      <c r="A104" s="20"/>
      <c r="C104" s="25"/>
    </row>
    <row r="105" spans="1:3" x14ac:dyDescent="0.45">
      <c r="A105" s="20"/>
      <c r="C105" s="25"/>
    </row>
    <row r="106" spans="1:3" x14ac:dyDescent="0.45">
      <c r="A106" s="20"/>
      <c r="C106" s="25"/>
    </row>
    <row r="107" spans="1:3" x14ac:dyDescent="0.45">
      <c r="A107" s="20"/>
      <c r="C107" s="25"/>
    </row>
    <row r="108" spans="1:3" x14ac:dyDescent="0.45">
      <c r="A108" s="20"/>
      <c r="C108" s="25"/>
    </row>
    <row r="109" spans="1:3" x14ac:dyDescent="0.45">
      <c r="A109" s="20"/>
      <c r="C109" s="25"/>
    </row>
    <row r="110" spans="1:3" x14ac:dyDescent="0.45">
      <c r="A110" s="20"/>
      <c r="C110" s="25"/>
    </row>
    <row r="111" spans="1:3" x14ac:dyDescent="0.45">
      <c r="A111" s="20"/>
      <c r="C111" s="25"/>
    </row>
    <row r="112" spans="1:3" x14ac:dyDescent="0.45">
      <c r="A112" s="20"/>
      <c r="C112" s="25"/>
    </row>
    <row r="113" spans="1:3" x14ac:dyDescent="0.45">
      <c r="A113" s="20"/>
      <c r="C113" s="25"/>
    </row>
    <row r="114" spans="1:3" x14ac:dyDescent="0.45">
      <c r="A114" s="20"/>
      <c r="C114" s="25"/>
    </row>
    <row r="115" spans="1:3" x14ac:dyDescent="0.45">
      <c r="A115" s="20"/>
      <c r="C115" s="25"/>
    </row>
    <row r="116" spans="1:3" x14ac:dyDescent="0.45">
      <c r="A116" s="20"/>
      <c r="C116" s="25"/>
    </row>
    <row r="117" spans="1:3" x14ac:dyDescent="0.45">
      <c r="A117" s="20"/>
      <c r="C117" s="25"/>
    </row>
    <row r="118" spans="1:3" x14ac:dyDescent="0.45">
      <c r="A118" s="20"/>
      <c r="C118" s="25"/>
    </row>
    <row r="119" spans="1:3" x14ac:dyDescent="0.45">
      <c r="A119" s="20"/>
      <c r="C119" s="25"/>
    </row>
    <row r="120" spans="1:3" x14ac:dyDescent="0.45">
      <c r="A120" s="20"/>
      <c r="C120" s="25"/>
    </row>
    <row r="121" spans="1:3" x14ac:dyDescent="0.45">
      <c r="A121" s="20"/>
      <c r="C121" s="25"/>
    </row>
    <row r="122" spans="1:3" x14ac:dyDescent="0.45">
      <c r="A122" s="20"/>
      <c r="C122" s="25"/>
    </row>
    <row r="123" spans="1:3" x14ac:dyDescent="0.45">
      <c r="A123" s="20"/>
      <c r="C123" s="25"/>
    </row>
    <row r="124" spans="1:3" x14ac:dyDescent="0.45">
      <c r="A124" s="20"/>
      <c r="C124" s="25"/>
    </row>
    <row r="125" spans="1:3" x14ac:dyDescent="0.45">
      <c r="A125" s="20"/>
      <c r="C125" s="25"/>
    </row>
    <row r="126" spans="1:3" x14ac:dyDescent="0.45">
      <c r="A126" s="20"/>
      <c r="C126" s="25"/>
    </row>
    <row r="127" spans="1:3" x14ac:dyDescent="0.45">
      <c r="A127" s="20"/>
      <c r="C127" s="25"/>
    </row>
    <row r="128" spans="1:3" x14ac:dyDescent="0.45">
      <c r="A128" s="21"/>
      <c r="C128" s="25"/>
    </row>
    <row r="129" spans="1:3" x14ac:dyDescent="0.45">
      <c r="A129" s="21"/>
      <c r="C129" s="25"/>
    </row>
    <row r="130" spans="1:3" x14ac:dyDescent="0.45">
      <c r="A130" s="21"/>
      <c r="C130" s="25"/>
    </row>
    <row r="131" spans="1:3" x14ac:dyDescent="0.45">
      <c r="A131" s="21"/>
      <c r="C131" s="25"/>
    </row>
    <row r="132" spans="1:3" x14ac:dyDescent="0.45">
      <c r="A132" s="21"/>
      <c r="C132" s="25"/>
    </row>
    <row r="133" spans="1:3" x14ac:dyDescent="0.45">
      <c r="A133" s="21"/>
      <c r="C133" s="25"/>
    </row>
    <row r="134" spans="1:3" x14ac:dyDescent="0.45">
      <c r="A134" s="21"/>
      <c r="C134" s="25"/>
    </row>
    <row r="135" spans="1:3" x14ac:dyDescent="0.45">
      <c r="A135" s="21"/>
      <c r="C135" s="25"/>
    </row>
    <row r="136" spans="1:3" x14ac:dyDescent="0.45">
      <c r="A136" s="21"/>
      <c r="C136" s="25"/>
    </row>
    <row r="137" spans="1:3" x14ac:dyDescent="0.45">
      <c r="A137" s="21"/>
      <c r="C137" s="25"/>
    </row>
    <row r="138" spans="1:3" x14ac:dyDescent="0.45">
      <c r="A138" s="21"/>
      <c r="C138" s="25"/>
    </row>
    <row r="139" spans="1:3" x14ac:dyDescent="0.45">
      <c r="A139" s="21"/>
      <c r="C139" s="25"/>
    </row>
    <row r="140" spans="1:3" x14ac:dyDescent="0.45">
      <c r="A140" s="21"/>
      <c r="C140" s="25"/>
    </row>
    <row r="141" spans="1:3" x14ac:dyDescent="0.45">
      <c r="A141" s="21"/>
      <c r="C141" s="25"/>
    </row>
    <row r="142" spans="1:3" x14ac:dyDescent="0.45">
      <c r="A142" s="21"/>
      <c r="C142" s="25"/>
    </row>
    <row r="143" spans="1:3" x14ac:dyDescent="0.45">
      <c r="A143" s="21"/>
      <c r="C143" s="25"/>
    </row>
    <row r="144" spans="1:3" x14ac:dyDescent="0.45">
      <c r="A144" s="21"/>
      <c r="C144" s="25"/>
    </row>
    <row r="145" spans="1:3" x14ac:dyDescent="0.45">
      <c r="A145" s="21"/>
      <c r="C145" s="25"/>
    </row>
    <row r="146" spans="1:3" x14ac:dyDescent="0.45">
      <c r="A146" s="21"/>
      <c r="C146" s="25"/>
    </row>
    <row r="147" spans="1:3" x14ac:dyDescent="0.45">
      <c r="A147" s="21"/>
      <c r="C147" s="25"/>
    </row>
    <row r="148" spans="1:3" x14ac:dyDescent="0.45">
      <c r="A148" s="21"/>
      <c r="C148" s="25"/>
    </row>
    <row r="149" spans="1:3" x14ac:dyDescent="0.45">
      <c r="A149" s="21"/>
      <c r="C149" s="25"/>
    </row>
    <row r="150" spans="1:3" x14ac:dyDescent="0.45">
      <c r="A150" s="21"/>
      <c r="C150" s="25"/>
    </row>
    <row r="151" spans="1:3" x14ac:dyDescent="0.45">
      <c r="A151" s="21"/>
      <c r="C151" s="25"/>
    </row>
    <row r="152" spans="1:3" x14ac:dyDescent="0.45">
      <c r="A152" s="21"/>
      <c r="C152" s="25"/>
    </row>
    <row r="153" spans="1:3" x14ac:dyDescent="0.45">
      <c r="A153" s="21"/>
      <c r="C153" s="25"/>
    </row>
    <row r="154" spans="1:3" x14ac:dyDescent="0.45">
      <c r="A154" s="21"/>
      <c r="C154" s="25"/>
    </row>
    <row r="155" spans="1:3" x14ac:dyDescent="0.45">
      <c r="A155" s="21"/>
      <c r="C155" s="25"/>
    </row>
    <row r="156" spans="1:3" x14ac:dyDescent="0.45">
      <c r="A156" s="21"/>
      <c r="C156" s="25"/>
    </row>
    <row r="157" spans="1:3" x14ac:dyDescent="0.45">
      <c r="A157" s="21"/>
      <c r="C157" s="25"/>
    </row>
    <row r="158" spans="1:3" x14ac:dyDescent="0.45">
      <c r="A158" s="21"/>
      <c r="C158" s="25"/>
    </row>
    <row r="159" spans="1:3" x14ac:dyDescent="0.45">
      <c r="A159" s="21"/>
      <c r="C159" s="25"/>
    </row>
    <row r="160" spans="1:3" x14ac:dyDescent="0.45">
      <c r="A160" s="21"/>
      <c r="C160" s="25"/>
    </row>
    <row r="161" spans="1:3" x14ac:dyDescent="0.45">
      <c r="A161" s="21"/>
      <c r="C161" s="25"/>
    </row>
    <row r="162" spans="1:3" x14ac:dyDescent="0.45">
      <c r="A162" s="21"/>
      <c r="C162" s="25"/>
    </row>
    <row r="163" spans="1:3" x14ac:dyDescent="0.45">
      <c r="A163" s="21"/>
      <c r="C163" s="25"/>
    </row>
    <row r="164" spans="1:3" x14ac:dyDescent="0.45">
      <c r="A164" s="21"/>
      <c r="C164" s="25"/>
    </row>
    <row r="165" spans="1:3" x14ac:dyDescent="0.45">
      <c r="A165" s="21"/>
      <c r="C165" s="25"/>
    </row>
    <row r="166" spans="1:3" x14ac:dyDescent="0.45">
      <c r="A166" s="21"/>
      <c r="C166" s="25"/>
    </row>
    <row r="167" spans="1:3" x14ac:dyDescent="0.45">
      <c r="A167" s="21"/>
      <c r="C167" s="25"/>
    </row>
    <row r="168" spans="1:3" x14ac:dyDescent="0.45">
      <c r="A168" s="21"/>
      <c r="C168" s="25"/>
    </row>
    <row r="169" spans="1:3" x14ac:dyDescent="0.45">
      <c r="A169" s="21"/>
      <c r="C169" s="25"/>
    </row>
    <row r="170" spans="1:3" x14ac:dyDescent="0.45">
      <c r="A170" s="21"/>
      <c r="C170" s="25"/>
    </row>
    <row r="171" spans="1:3" x14ac:dyDescent="0.45">
      <c r="A171" s="21"/>
      <c r="C171" s="25"/>
    </row>
    <row r="172" spans="1:3" x14ac:dyDescent="0.45">
      <c r="A172" s="21"/>
      <c r="C172" s="25"/>
    </row>
    <row r="173" spans="1:3" x14ac:dyDescent="0.45">
      <c r="A173" s="21"/>
      <c r="C173" s="25"/>
    </row>
    <row r="174" spans="1:3" x14ac:dyDescent="0.45">
      <c r="A174" s="21"/>
      <c r="C174" s="25"/>
    </row>
    <row r="175" spans="1:3" x14ac:dyDescent="0.45">
      <c r="A175" s="21"/>
      <c r="C175" s="25"/>
    </row>
    <row r="176" spans="1:3" x14ac:dyDescent="0.45">
      <c r="A176" s="21"/>
      <c r="C176" s="25"/>
    </row>
    <row r="177" spans="1:3" x14ac:dyDescent="0.45">
      <c r="A177" s="21"/>
      <c r="C177" s="25"/>
    </row>
    <row r="178" spans="1:3" x14ac:dyDescent="0.45">
      <c r="A178" s="21"/>
      <c r="C178" s="25"/>
    </row>
    <row r="179" spans="1:3" x14ac:dyDescent="0.45">
      <c r="A179" s="21"/>
      <c r="C179" s="25"/>
    </row>
    <row r="180" spans="1:3" x14ac:dyDescent="0.45">
      <c r="A180" s="21"/>
      <c r="C180" s="25"/>
    </row>
    <row r="181" spans="1:3" x14ac:dyDescent="0.45">
      <c r="A181" s="21"/>
      <c r="C181" s="25"/>
    </row>
    <row r="182" spans="1:3" x14ac:dyDescent="0.45">
      <c r="A182" s="21"/>
      <c r="C182" s="25"/>
    </row>
    <row r="183" spans="1:3" x14ac:dyDescent="0.45">
      <c r="A183" s="21"/>
      <c r="C183" s="25"/>
    </row>
    <row r="184" spans="1:3" x14ac:dyDescent="0.45">
      <c r="A184" s="21"/>
      <c r="C184" s="25"/>
    </row>
    <row r="185" spans="1:3" x14ac:dyDescent="0.45">
      <c r="A185" s="21"/>
      <c r="C185" s="25"/>
    </row>
    <row r="186" spans="1:3" x14ac:dyDescent="0.45">
      <c r="A186" s="21"/>
      <c r="C186" s="25"/>
    </row>
    <row r="187" spans="1:3" x14ac:dyDescent="0.45">
      <c r="A187" s="21"/>
      <c r="C187" s="25"/>
    </row>
    <row r="188" spans="1:3" x14ac:dyDescent="0.45">
      <c r="A188" s="21"/>
      <c r="C188" s="25"/>
    </row>
    <row r="189" spans="1:3" x14ac:dyDescent="0.45">
      <c r="A189" s="21"/>
      <c r="C189" s="25"/>
    </row>
    <row r="190" spans="1:3" x14ac:dyDescent="0.45">
      <c r="A190" s="21"/>
      <c r="C190" s="25"/>
    </row>
    <row r="191" spans="1:3" x14ac:dyDescent="0.45">
      <c r="A191" s="21"/>
      <c r="C191" s="25"/>
    </row>
    <row r="192" spans="1:3" x14ac:dyDescent="0.45">
      <c r="A192" s="21"/>
      <c r="C192" s="25"/>
    </row>
    <row r="193" spans="1:3" x14ac:dyDescent="0.45">
      <c r="A193" s="21"/>
      <c r="C193" s="25"/>
    </row>
    <row r="194" spans="1:3" x14ac:dyDescent="0.45">
      <c r="A194" s="21"/>
      <c r="C194" s="25"/>
    </row>
    <row r="195" spans="1:3" x14ac:dyDescent="0.45">
      <c r="A195" s="21"/>
      <c r="C195" s="25"/>
    </row>
    <row r="196" spans="1:3" x14ac:dyDescent="0.45">
      <c r="A196" s="21"/>
      <c r="C196" s="25"/>
    </row>
    <row r="197" spans="1:3" x14ac:dyDescent="0.45">
      <c r="A197" s="21"/>
      <c r="C197" s="25"/>
    </row>
    <row r="198" spans="1:3" x14ac:dyDescent="0.45">
      <c r="A198" s="21"/>
      <c r="C198" s="25"/>
    </row>
    <row r="199" spans="1:3" x14ac:dyDescent="0.45">
      <c r="A199" s="21"/>
      <c r="C199" s="25"/>
    </row>
    <row r="200" spans="1:3" x14ac:dyDescent="0.45">
      <c r="A200" s="21"/>
      <c r="C200" s="25"/>
    </row>
    <row r="201" spans="1:3" x14ac:dyDescent="0.45">
      <c r="A201" s="21"/>
      <c r="C201" s="25"/>
    </row>
    <row r="202" spans="1:3" x14ac:dyDescent="0.45">
      <c r="A202" s="21"/>
      <c r="C202" s="25"/>
    </row>
    <row r="203" spans="1:3" x14ac:dyDescent="0.45">
      <c r="A203" s="21"/>
      <c r="C203" s="25"/>
    </row>
    <row r="204" spans="1:3" x14ac:dyDescent="0.45">
      <c r="A204" s="21"/>
      <c r="C204" s="25"/>
    </row>
    <row r="205" spans="1:3" x14ac:dyDescent="0.45">
      <c r="A205" s="21"/>
      <c r="C205" s="25"/>
    </row>
    <row r="206" spans="1:3" x14ac:dyDescent="0.45">
      <c r="A206" s="21"/>
      <c r="C206" s="25"/>
    </row>
    <row r="207" spans="1:3" x14ac:dyDescent="0.45">
      <c r="A207" s="21"/>
      <c r="C207" s="25"/>
    </row>
    <row r="208" spans="1:3" x14ac:dyDescent="0.45">
      <c r="A208" s="21"/>
      <c r="C208" s="25"/>
    </row>
    <row r="209" spans="1:3" x14ac:dyDescent="0.45">
      <c r="A209" s="21"/>
      <c r="C209" s="25"/>
    </row>
    <row r="210" spans="1:3" x14ac:dyDescent="0.45">
      <c r="A210" s="21"/>
      <c r="C210" s="25"/>
    </row>
    <row r="211" spans="1:3" x14ac:dyDescent="0.45">
      <c r="A211" s="21"/>
      <c r="C211" s="25"/>
    </row>
    <row r="212" spans="1:3" x14ac:dyDescent="0.45">
      <c r="A212" s="21"/>
      <c r="C212" s="25"/>
    </row>
    <row r="213" spans="1:3" x14ac:dyDescent="0.45">
      <c r="A213" s="21"/>
      <c r="C213" s="25"/>
    </row>
    <row r="214" spans="1:3" x14ac:dyDescent="0.45">
      <c r="A214" s="21"/>
      <c r="C214" s="25"/>
    </row>
    <row r="215" spans="1:3" x14ac:dyDescent="0.45">
      <c r="A215" s="21"/>
      <c r="C215" s="25"/>
    </row>
    <row r="216" spans="1:3" x14ac:dyDescent="0.45">
      <c r="A216" s="21"/>
      <c r="C216" s="25"/>
    </row>
    <row r="217" spans="1:3" x14ac:dyDescent="0.45">
      <c r="A217" s="21"/>
      <c r="C217" s="25"/>
    </row>
    <row r="218" spans="1:3" x14ac:dyDescent="0.45">
      <c r="A218" s="21"/>
      <c r="C218" s="25"/>
    </row>
    <row r="219" spans="1:3" x14ac:dyDescent="0.45">
      <c r="A219" s="21"/>
      <c r="C219" s="25"/>
    </row>
    <row r="220" spans="1:3" x14ac:dyDescent="0.45">
      <c r="A220" s="21"/>
      <c r="C220" s="25"/>
    </row>
    <row r="221" spans="1:3" x14ac:dyDescent="0.45">
      <c r="A221" s="21"/>
      <c r="C221" s="25"/>
    </row>
    <row r="222" spans="1:3" x14ac:dyDescent="0.45">
      <c r="A222" s="21"/>
      <c r="C222" s="25"/>
    </row>
    <row r="223" spans="1:3" x14ac:dyDescent="0.45">
      <c r="A223" s="21"/>
      <c r="C223" s="25"/>
    </row>
    <row r="224" spans="1:3" x14ac:dyDescent="0.45">
      <c r="A224" s="21"/>
      <c r="C224" s="25"/>
    </row>
    <row r="225" spans="1:3" x14ac:dyDescent="0.45">
      <c r="A225" s="21"/>
      <c r="C225" s="25"/>
    </row>
    <row r="226" spans="1:3" x14ac:dyDescent="0.45">
      <c r="A226" s="21"/>
      <c r="C226" s="25"/>
    </row>
    <row r="227" spans="1:3" x14ac:dyDescent="0.45">
      <c r="A227" s="21"/>
      <c r="C227" s="25"/>
    </row>
    <row r="228" spans="1:3" x14ac:dyDescent="0.45">
      <c r="A228" s="21"/>
      <c r="C228" s="25"/>
    </row>
    <row r="229" spans="1:3" x14ac:dyDescent="0.45">
      <c r="A229" s="21"/>
      <c r="C229" s="25"/>
    </row>
    <row r="230" spans="1:3" x14ac:dyDescent="0.45">
      <c r="A230" s="21"/>
      <c r="C230" s="25"/>
    </row>
    <row r="231" spans="1:3" x14ac:dyDescent="0.45">
      <c r="A231" s="21"/>
      <c r="C231" s="25"/>
    </row>
    <row r="232" spans="1:3" x14ac:dyDescent="0.45">
      <c r="A232" s="21"/>
      <c r="C232" s="25"/>
    </row>
    <row r="233" spans="1:3" x14ac:dyDescent="0.45">
      <c r="A233" s="21"/>
      <c r="C233" s="25"/>
    </row>
    <row r="234" spans="1:3" x14ac:dyDescent="0.45">
      <c r="A234" s="21"/>
      <c r="C234" s="25"/>
    </row>
    <row r="235" spans="1:3" x14ac:dyDescent="0.45">
      <c r="A235" s="21"/>
      <c r="C235" s="25"/>
    </row>
    <row r="236" spans="1:3" x14ac:dyDescent="0.45">
      <c r="A236" s="21"/>
      <c r="C236" s="25"/>
    </row>
    <row r="237" spans="1:3" x14ac:dyDescent="0.45">
      <c r="A237" s="21"/>
      <c r="C237" s="25"/>
    </row>
    <row r="238" spans="1:3" x14ac:dyDescent="0.45">
      <c r="A238" s="21"/>
      <c r="C238" s="25"/>
    </row>
    <row r="239" spans="1:3" x14ac:dyDescent="0.45">
      <c r="A239" s="21"/>
      <c r="C239" s="25"/>
    </row>
    <row r="240" spans="1:3" x14ac:dyDescent="0.45">
      <c r="A240" s="21"/>
      <c r="C240" s="25"/>
    </row>
    <row r="241" spans="1:3" x14ac:dyDescent="0.45">
      <c r="A241" s="21"/>
      <c r="C241" s="25"/>
    </row>
    <row r="242" spans="1:3" x14ac:dyDescent="0.45">
      <c r="A242" s="21"/>
      <c r="C242" s="25"/>
    </row>
    <row r="243" spans="1:3" x14ac:dyDescent="0.45">
      <c r="A243" s="21"/>
      <c r="C243" s="25"/>
    </row>
    <row r="244" spans="1:3" x14ac:dyDescent="0.45">
      <c r="A244" s="21"/>
      <c r="C244" s="25"/>
    </row>
    <row r="245" spans="1:3" x14ac:dyDescent="0.45">
      <c r="A245" s="21"/>
      <c r="C245" s="25"/>
    </row>
    <row r="246" spans="1:3" x14ac:dyDescent="0.45">
      <c r="A246" s="21"/>
      <c r="C246" s="25"/>
    </row>
    <row r="247" spans="1:3" x14ac:dyDescent="0.45">
      <c r="A247" s="21"/>
      <c r="C247" s="25"/>
    </row>
    <row r="248" spans="1:3" x14ac:dyDescent="0.45">
      <c r="A248" s="21"/>
      <c r="C248" s="25"/>
    </row>
    <row r="249" spans="1:3" x14ac:dyDescent="0.45">
      <c r="A249" s="21"/>
      <c r="C249" s="25"/>
    </row>
    <row r="250" spans="1:3" x14ac:dyDescent="0.45">
      <c r="A250" s="21"/>
      <c r="C250" s="25"/>
    </row>
    <row r="251" spans="1:3" x14ac:dyDescent="0.45">
      <c r="A251" s="21"/>
      <c r="C251" s="25"/>
    </row>
    <row r="252" spans="1:3" x14ac:dyDescent="0.45">
      <c r="A252" s="21"/>
      <c r="C252" s="25"/>
    </row>
    <row r="253" spans="1:3" x14ac:dyDescent="0.45">
      <c r="A253" s="21"/>
      <c r="C253" s="25"/>
    </row>
    <row r="254" spans="1:3" x14ac:dyDescent="0.45">
      <c r="A254" s="21"/>
      <c r="C254" s="25"/>
    </row>
    <row r="255" spans="1:3" x14ac:dyDescent="0.45">
      <c r="A255" s="21"/>
      <c r="C255" s="25"/>
    </row>
    <row r="256" spans="1:3" x14ac:dyDescent="0.45">
      <c r="A256" s="21"/>
      <c r="C256" s="25"/>
    </row>
    <row r="257" spans="1:3" x14ac:dyDescent="0.45">
      <c r="A257" s="21"/>
      <c r="C257" s="25"/>
    </row>
    <row r="258" spans="1:3" x14ac:dyDescent="0.45">
      <c r="A258" s="21"/>
      <c r="C258" s="25"/>
    </row>
    <row r="259" spans="1:3" x14ac:dyDescent="0.45">
      <c r="A259" s="21"/>
      <c r="C259" s="25"/>
    </row>
    <row r="260" spans="1:3" x14ac:dyDescent="0.45">
      <c r="A260" s="21"/>
      <c r="C260" s="25"/>
    </row>
    <row r="261" spans="1:3" x14ac:dyDescent="0.45">
      <c r="A261" s="21"/>
      <c r="C261" s="25"/>
    </row>
    <row r="262" spans="1:3" x14ac:dyDescent="0.45">
      <c r="A262" s="21"/>
      <c r="C262" s="25"/>
    </row>
    <row r="263" spans="1:3" x14ac:dyDescent="0.45">
      <c r="A263" s="21"/>
      <c r="C263" s="25"/>
    </row>
    <row r="264" spans="1:3" x14ac:dyDescent="0.45">
      <c r="A264" s="21"/>
      <c r="C264" s="25"/>
    </row>
    <row r="265" spans="1:3" x14ac:dyDescent="0.45">
      <c r="A265" s="21"/>
      <c r="C265" s="25"/>
    </row>
    <row r="266" spans="1:3" x14ac:dyDescent="0.45">
      <c r="A266" s="21"/>
      <c r="C266" s="25"/>
    </row>
    <row r="267" spans="1:3" x14ac:dyDescent="0.45">
      <c r="A267" s="21"/>
      <c r="C267" s="25"/>
    </row>
    <row r="268" spans="1:3" x14ac:dyDescent="0.45">
      <c r="A268" s="21"/>
      <c r="C268" s="25"/>
    </row>
    <row r="269" spans="1:3" x14ac:dyDescent="0.45">
      <c r="A269" s="21"/>
      <c r="C269" s="25"/>
    </row>
    <row r="270" spans="1:3" x14ac:dyDescent="0.45">
      <c r="A270" s="21"/>
      <c r="C270" s="25"/>
    </row>
    <row r="271" spans="1:3" x14ac:dyDescent="0.45">
      <c r="A271" s="21"/>
      <c r="C271" s="25"/>
    </row>
    <row r="272" spans="1:3" x14ac:dyDescent="0.45">
      <c r="A272" s="21"/>
      <c r="C272" s="25"/>
    </row>
    <row r="273" spans="1:3" x14ac:dyDescent="0.45">
      <c r="A273" s="21"/>
      <c r="C273" s="25"/>
    </row>
    <row r="274" spans="1:3" x14ac:dyDescent="0.45">
      <c r="A274" s="21"/>
      <c r="C274" s="25"/>
    </row>
    <row r="275" spans="1:3" x14ac:dyDescent="0.45">
      <c r="A275" s="21"/>
      <c r="C275" s="25"/>
    </row>
    <row r="276" spans="1:3" x14ac:dyDescent="0.45">
      <c r="A276" s="21"/>
      <c r="C276" s="25"/>
    </row>
    <row r="277" spans="1:3" x14ac:dyDescent="0.45">
      <c r="A277" s="21"/>
      <c r="C277" s="25"/>
    </row>
    <row r="278" spans="1:3" x14ac:dyDescent="0.45">
      <c r="A278" s="21"/>
      <c r="C278" s="25"/>
    </row>
    <row r="279" spans="1:3" x14ac:dyDescent="0.45">
      <c r="A279" s="21"/>
      <c r="C279" s="25"/>
    </row>
    <row r="280" spans="1:3" x14ac:dyDescent="0.45">
      <c r="A280" s="21"/>
      <c r="C280" s="25"/>
    </row>
    <row r="281" spans="1:3" x14ac:dyDescent="0.45">
      <c r="A281" s="21"/>
      <c r="C281" s="25"/>
    </row>
    <row r="282" spans="1:3" x14ac:dyDescent="0.45">
      <c r="A282" s="21"/>
      <c r="C282" s="25"/>
    </row>
    <row r="283" spans="1:3" x14ac:dyDescent="0.45">
      <c r="A283" s="21"/>
      <c r="C283" s="25"/>
    </row>
    <row r="284" spans="1:3" x14ac:dyDescent="0.45">
      <c r="A284" s="21"/>
      <c r="C284" s="25"/>
    </row>
    <row r="285" spans="1:3" x14ac:dyDescent="0.45">
      <c r="A285" s="21"/>
      <c r="C285" s="25"/>
    </row>
    <row r="286" spans="1:3" x14ac:dyDescent="0.45">
      <c r="A286" s="21"/>
      <c r="C286" s="25"/>
    </row>
    <row r="287" spans="1:3" x14ac:dyDescent="0.45">
      <c r="A287" s="21"/>
      <c r="C287" s="25"/>
    </row>
    <row r="288" spans="1:3" x14ac:dyDescent="0.45">
      <c r="A288" s="21"/>
      <c r="C288" s="25"/>
    </row>
    <row r="289" spans="1:3" x14ac:dyDescent="0.45">
      <c r="A289" s="21"/>
      <c r="C289" s="25"/>
    </row>
    <row r="290" spans="1:3" x14ac:dyDescent="0.45">
      <c r="A290" s="21"/>
      <c r="C290" s="25"/>
    </row>
    <row r="291" spans="1:3" x14ac:dyDescent="0.45">
      <c r="A291" s="21"/>
      <c r="C291" s="25"/>
    </row>
    <row r="292" spans="1:3" x14ac:dyDescent="0.45">
      <c r="A292" s="21"/>
      <c r="C292" s="25"/>
    </row>
    <row r="293" spans="1:3" x14ac:dyDescent="0.45">
      <c r="A293" s="21"/>
      <c r="C293" s="25"/>
    </row>
    <row r="294" spans="1:3" x14ac:dyDescent="0.45">
      <c r="A294" s="21"/>
      <c r="C294" s="25"/>
    </row>
    <row r="295" spans="1:3" x14ac:dyDescent="0.45">
      <c r="A295" s="21"/>
      <c r="C295" s="25"/>
    </row>
    <row r="296" spans="1:3" x14ac:dyDescent="0.45">
      <c r="A296" s="21"/>
      <c r="C296" s="25"/>
    </row>
    <row r="297" spans="1:3" x14ac:dyDescent="0.45">
      <c r="A297" s="21"/>
      <c r="C297" s="25"/>
    </row>
    <row r="298" spans="1:3" x14ac:dyDescent="0.45">
      <c r="A298" s="21"/>
      <c r="C298" s="25"/>
    </row>
    <row r="299" spans="1:3" x14ac:dyDescent="0.45">
      <c r="A299" s="21"/>
      <c r="C299" s="25"/>
    </row>
    <row r="300" spans="1:3" x14ac:dyDescent="0.45">
      <c r="A300" s="21"/>
      <c r="C300" s="25"/>
    </row>
    <row r="301" spans="1:3" x14ac:dyDescent="0.45">
      <c r="A301" s="21"/>
      <c r="C301" s="25"/>
    </row>
    <row r="302" spans="1:3" x14ac:dyDescent="0.45">
      <c r="A302" s="21"/>
      <c r="C302" s="25"/>
    </row>
    <row r="303" spans="1:3" x14ac:dyDescent="0.45">
      <c r="A303" s="21"/>
      <c r="C303" s="25"/>
    </row>
    <row r="304" spans="1:3" x14ac:dyDescent="0.45">
      <c r="A304" s="21"/>
      <c r="C304" s="25"/>
    </row>
    <row r="305" spans="1:3" x14ac:dyDescent="0.45">
      <c r="A305" s="21"/>
      <c r="C305" s="25"/>
    </row>
    <row r="306" spans="1:3" x14ac:dyDescent="0.45">
      <c r="A306" s="21"/>
      <c r="C306" s="25"/>
    </row>
    <row r="307" spans="1:3" x14ac:dyDescent="0.45">
      <c r="A307" s="21"/>
      <c r="C307" s="25"/>
    </row>
    <row r="308" spans="1:3" x14ac:dyDescent="0.45">
      <c r="A308" s="21"/>
      <c r="C308" s="25"/>
    </row>
    <row r="309" spans="1:3" x14ac:dyDescent="0.45">
      <c r="A309" s="21"/>
      <c r="C309" s="25"/>
    </row>
    <row r="310" spans="1:3" x14ac:dyDescent="0.45">
      <c r="A310" s="21"/>
      <c r="C310" s="25"/>
    </row>
    <row r="311" spans="1:3" x14ac:dyDescent="0.45">
      <c r="A311" s="21"/>
      <c r="C311" s="25"/>
    </row>
    <row r="312" spans="1:3" x14ac:dyDescent="0.45">
      <c r="A312" s="21"/>
      <c r="C312" s="25"/>
    </row>
    <row r="313" spans="1:3" x14ac:dyDescent="0.45">
      <c r="A313" s="21"/>
      <c r="C313" s="25"/>
    </row>
    <row r="314" spans="1:3" x14ac:dyDescent="0.45">
      <c r="A314" s="21"/>
      <c r="C314" s="25"/>
    </row>
    <row r="315" spans="1:3" x14ac:dyDescent="0.45">
      <c r="A315" s="21"/>
      <c r="C315" s="25"/>
    </row>
    <row r="316" spans="1:3" x14ac:dyDescent="0.45">
      <c r="A316" s="21"/>
      <c r="C316" s="25"/>
    </row>
    <row r="317" spans="1:3" x14ac:dyDescent="0.45">
      <c r="A317" s="21"/>
      <c r="C317" s="25"/>
    </row>
    <row r="318" spans="1:3" x14ac:dyDescent="0.45">
      <c r="A318" s="21"/>
      <c r="C318" s="25"/>
    </row>
    <row r="319" spans="1:3" x14ac:dyDescent="0.45">
      <c r="A319" s="21"/>
      <c r="C319" s="25"/>
    </row>
    <row r="320" spans="1:3" x14ac:dyDescent="0.45">
      <c r="A320" s="21"/>
      <c r="C320" s="25"/>
    </row>
    <row r="321" spans="1:3" x14ac:dyDescent="0.45">
      <c r="A321" s="21"/>
      <c r="C321" s="25"/>
    </row>
    <row r="322" spans="1:3" x14ac:dyDescent="0.45">
      <c r="A322" s="21"/>
      <c r="C322" s="25"/>
    </row>
    <row r="323" spans="1:3" x14ac:dyDescent="0.45">
      <c r="A323" s="21"/>
      <c r="C323" s="25"/>
    </row>
    <row r="324" spans="1:3" x14ac:dyDescent="0.45">
      <c r="A324" s="21"/>
      <c r="C324" s="25"/>
    </row>
    <row r="325" spans="1:3" x14ac:dyDescent="0.45">
      <c r="A325" s="21"/>
      <c r="C325" s="25"/>
    </row>
    <row r="326" spans="1:3" x14ac:dyDescent="0.45">
      <c r="A326" s="21"/>
      <c r="C326" s="25"/>
    </row>
    <row r="327" spans="1:3" x14ac:dyDescent="0.45">
      <c r="A327" s="21"/>
      <c r="C327" s="25"/>
    </row>
    <row r="328" spans="1:3" x14ac:dyDescent="0.45">
      <c r="A328" s="21"/>
      <c r="C328" s="25"/>
    </row>
    <row r="329" spans="1:3" x14ac:dyDescent="0.45">
      <c r="A329" s="21"/>
      <c r="C329" s="25"/>
    </row>
    <row r="330" spans="1:3" x14ac:dyDescent="0.45">
      <c r="A330" s="21"/>
      <c r="C330" s="25"/>
    </row>
    <row r="331" spans="1:3" x14ac:dyDescent="0.45">
      <c r="A331" s="21"/>
      <c r="C331" s="25"/>
    </row>
    <row r="332" spans="1:3" x14ac:dyDescent="0.45">
      <c r="A332" s="21"/>
      <c r="C332" s="25"/>
    </row>
    <row r="333" spans="1:3" x14ac:dyDescent="0.45">
      <c r="A333" s="21"/>
      <c r="C333" s="25"/>
    </row>
    <row r="334" spans="1:3" x14ac:dyDescent="0.45">
      <c r="A334" s="21"/>
      <c r="C334" s="25"/>
    </row>
    <row r="335" spans="1:3" x14ac:dyDescent="0.45">
      <c r="A335" s="21"/>
      <c r="C335" s="25"/>
    </row>
    <row r="336" spans="1:3" x14ac:dyDescent="0.45">
      <c r="A336" s="21"/>
      <c r="C336" s="25"/>
    </row>
    <row r="337" spans="1:3" x14ac:dyDescent="0.45">
      <c r="A337" s="21"/>
      <c r="C337" s="25"/>
    </row>
    <row r="338" spans="1:3" x14ac:dyDescent="0.45">
      <c r="A338" s="21"/>
      <c r="C338" s="25"/>
    </row>
    <row r="339" spans="1:3" x14ac:dyDescent="0.45">
      <c r="A339" s="21"/>
      <c r="C339" s="25"/>
    </row>
    <row r="340" spans="1:3" x14ac:dyDescent="0.45">
      <c r="A340" s="21"/>
      <c r="C340" s="25"/>
    </row>
    <row r="341" spans="1:3" x14ac:dyDescent="0.45">
      <c r="A341" s="21"/>
      <c r="C341" s="25"/>
    </row>
    <row r="342" spans="1:3" x14ac:dyDescent="0.45">
      <c r="A342" s="21"/>
      <c r="C342" s="25"/>
    </row>
    <row r="343" spans="1:3" x14ac:dyDescent="0.45">
      <c r="A343" s="21"/>
      <c r="C343" s="25"/>
    </row>
    <row r="344" spans="1:3" x14ac:dyDescent="0.45">
      <c r="A344" s="21"/>
      <c r="C344" s="25"/>
    </row>
    <row r="345" spans="1:3" x14ac:dyDescent="0.45">
      <c r="A345" s="21"/>
      <c r="C345" s="25"/>
    </row>
    <row r="346" spans="1:3" x14ac:dyDescent="0.45">
      <c r="A346" s="21"/>
      <c r="C346" s="25"/>
    </row>
    <row r="347" spans="1:3" x14ac:dyDescent="0.45">
      <c r="A347" s="21"/>
      <c r="C347" s="25"/>
    </row>
    <row r="348" spans="1:3" x14ac:dyDescent="0.45">
      <c r="A348" s="21"/>
      <c r="C348" s="25"/>
    </row>
    <row r="349" spans="1:3" x14ac:dyDescent="0.45">
      <c r="A349" s="21"/>
      <c r="C349" s="25"/>
    </row>
    <row r="350" spans="1:3" x14ac:dyDescent="0.45">
      <c r="A350" s="21"/>
      <c r="C350" s="25"/>
    </row>
    <row r="351" spans="1:3" x14ac:dyDescent="0.45">
      <c r="A351" s="21"/>
      <c r="C351" s="25"/>
    </row>
    <row r="352" spans="1:3" x14ac:dyDescent="0.45">
      <c r="A352" s="21"/>
      <c r="C352" s="25"/>
    </row>
    <row r="353" spans="1:3" x14ac:dyDescent="0.45">
      <c r="A353" s="21"/>
      <c r="C353" s="25"/>
    </row>
    <row r="354" spans="1:3" x14ac:dyDescent="0.45">
      <c r="A354" s="21"/>
      <c r="C354" s="25"/>
    </row>
    <row r="355" spans="1:3" x14ac:dyDescent="0.45">
      <c r="A355" s="21"/>
      <c r="C355" s="25"/>
    </row>
    <row r="356" spans="1:3" x14ac:dyDescent="0.45">
      <c r="A356" s="21"/>
      <c r="C356" s="25"/>
    </row>
    <row r="357" spans="1:3" x14ac:dyDescent="0.45">
      <c r="A357" s="21"/>
      <c r="C357" s="25"/>
    </row>
    <row r="358" spans="1:3" x14ac:dyDescent="0.45">
      <c r="A358" s="21"/>
      <c r="C358" s="25"/>
    </row>
    <row r="359" spans="1:3" x14ac:dyDescent="0.45">
      <c r="A359" s="21"/>
      <c r="C359" s="25"/>
    </row>
    <row r="360" spans="1:3" x14ac:dyDescent="0.45">
      <c r="A360" s="21"/>
      <c r="C360" s="25"/>
    </row>
    <row r="361" spans="1:3" x14ac:dyDescent="0.45">
      <c r="A361" s="21"/>
      <c r="C361" s="25"/>
    </row>
    <row r="362" spans="1:3" x14ac:dyDescent="0.45">
      <c r="A362" s="21"/>
      <c r="C362" s="25"/>
    </row>
    <row r="363" spans="1:3" x14ac:dyDescent="0.45">
      <c r="A363" s="21"/>
      <c r="C363" s="25"/>
    </row>
    <row r="364" spans="1:3" x14ac:dyDescent="0.45">
      <c r="A364" s="21"/>
      <c r="C364" s="25"/>
    </row>
    <row r="365" spans="1:3" x14ac:dyDescent="0.45">
      <c r="A365" s="21"/>
      <c r="C365" s="25"/>
    </row>
    <row r="366" spans="1:3" x14ac:dyDescent="0.45">
      <c r="A366" s="21"/>
      <c r="C366" s="25"/>
    </row>
    <row r="367" spans="1:3" x14ac:dyDescent="0.45">
      <c r="A367" s="21"/>
      <c r="C367" s="25"/>
    </row>
    <row r="368" spans="1:3" x14ac:dyDescent="0.45">
      <c r="A368" s="21"/>
      <c r="C368" s="25"/>
    </row>
    <row r="369" spans="1:3" x14ac:dyDescent="0.45">
      <c r="A369" s="21"/>
      <c r="C369" s="25"/>
    </row>
    <row r="370" spans="1:3" x14ac:dyDescent="0.45">
      <c r="A370" s="21"/>
      <c r="C370" s="25"/>
    </row>
    <row r="371" spans="1:3" x14ac:dyDescent="0.45">
      <c r="A371" s="21"/>
      <c r="C371" s="25"/>
    </row>
    <row r="372" spans="1:3" x14ac:dyDescent="0.45">
      <c r="A372" s="21"/>
      <c r="C372" s="25"/>
    </row>
    <row r="373" spans="1:3" x14ac:dyDescent="0.45">
      <c r="A373" s="21"/>
      <c r="C373" s="25"/>
    </row>
    <row r="374" spans="1:3" x14ac:dyDescent="0.45">
      <c r="A374" s="21"/>
      <c r="C374" s="25"/>
    </row>
    <row r="375" spans="1:3" x14ac:dyDescent="0.45">
      <c r="A375" s="21"/>
      <c r="C375" s="25"/>
    </row>
    <row r="376" spans="1:3" x14ac:dyDescent="0.45">
      <c r="A376" s="21"/>
      <c r="C376" s="25"/>
    </row>
    <row r="377" spans="1:3" x14ac:dyDescent="0.45">
      <c r="A377" s="21"/>
      <c r="C377" s="25"/>
    </row>
    <row r="378" spans="1:3" x14ac:dyDescent="0.45">
      <c r="A378" s="21"/>
      <c r="C378" s="25"/>
    </row>
    <row r="379" spans="1:3" x14ac:dyDescent="0.45">
      <c r="A379" s="21"/>
      <c r="C379" s="25"/>
    </row>
    <row r="380" spans="1:3" x14ac:dyDescent="0.45">
      <c r="A380" s="21"/>
      <c r="C380" s="25"/>
    </row>
    <row r="381" spans="1:3" x14ac:dyDescent="0.45">
      <c r="A381" s="21"/>
      <c r="C381" s="25"/>
    </row>
    <row r="382" spans="1:3" x14ac:dyDescent="0.45">
      <c r="A382" s="21"/>
      <c r="C382" s="25"/>
    </row>
    <row r="383" spans="1:3" x14ac:dyDescent="0.45">
      <c r="A383" s="21"/>
      <c r="C383" s="25"/>
    </row>
    <row r="384" spans="1:3" x14ac:dyDescent="0.45">
      <c r="A384" s="21"/>
      <c r="C384" s="25"/>
    </row>
    <row r="385" spans="1:3" x14ac:dyDescent="0.45">
      <c r="A385" s="21"/>
      <c r="C385" s="25"/>
    </row>
    <row r="386" spans="1:3" x14ac:dyDescent="0.45">
      <c r="A386" s="21"/>
      <c r="C386" s="25"/>
    </row>
    <row r="387" spans="1:3" x14ac:dyDescent="0.45">
      <c r="A387" s="21"/>
      <c r="C387" s="25"/>
    </row>
    <row r="388" spans="1:3" x14ac:dyDescent="0.45">
      <c r="A388" s="21"/>
      <c r="C388" s="25"/>
    </row>
    <row r="389" spans="1:3" x14ac:dyDescent="0.45">
      <c r="A389" s="21"/>
      <c r="C389" s="25"/>
    </row>
    <row r="390" spans="1:3" x14ac:dyDescent="0.45">
      <c r="A390" s="21"/>
      <c r="C390" s="25"/>
    </row>
    <row r="391" spans="1:3" x14ac:dyDescent="0.45">
      <c r="A391" s="21"/>
      <c r="C391" s="25"/>
    </row>
    <row r="392" spans="1:3" x14ac:dyDescent="0.45">
      <c r="A392" s="21"/>
      <c r="C392" s="25"/>
    </row>
    <row r="393" spans="1:3" x14ac:dyDescent="0.45">
      <c r="A393" s="21"/>
      <c r="C393" s="25"/>
    </row>
    <row r="394" spans="1:3" x14ac:dyDescent="0.45">
      <c r="A394" s="21"/>
      <c r="C394" s="25"/>
    </row>
    <row r="395" spans="1:3" x14ac:dyDescent="0.45">
      <c r="A395" s="21"/>
      <c r="C395" s="25"/>
    </row>
    <row r="396" spans="1:3" x14ac:dyDescent="0.45">
      <c r="A396" s="21"/>
      <c r="C396" s="25"/>
    </row>
    <row r="397" spans="1:3" x14ac:dyDescent="0.45">
      <c r="A397" s="21"/>
      <c r="C397" s="25"/>
    </row>
    <row r="398" spans="1:3" x14ac:dyDescent="0.45">
      <c r="A398" s="21"/>
      <c r="C398" s="25"/>
    </row>
    <row r="399" spans="1:3" x14ac:dyDescent="0.45">
      <c r="A399" s="21"/>
      <c r="C399" s="25"/>
    </row>
    <row r="400" spans="1:3" x14ac:dyDescent="0.45">
      <c r="A400" s="21"/>
      <c r="C400" s="25"/>
    </row>
    <row r="401" spans="1:3" x14ac:dyDescent="0.45">
      <c r="A401" s="21"/>
      <c r="C401" s="25"/>
    </row>
    <row r="402" spans="1:3" x14ac:dyDescent="0.45">
      <c r="A402" s="21"/>
      <c r="C402" s="25"/>
    </row>
    <row r="403" spans="1:3" x14ac:dyDescent="0.45">
      <c r="A403" s="21"/>
      <c r="C403" s="25"/>
    </row>
    <row r="404" spans="1:3" x14ac:dyDescent="0.45">
      <c r="A404" s="21"/>
      <c r="C404" s="25"/>
    </row>
    <row r="405" spans="1:3" x14ac:dyDescent="0.45">
      <c r="A405" s="21"/>
      <c r="C405" s="25"/>
    </row>
    <row r="406" spans="1:3" x14ac:dyDescent="0.45">
      <c r="A406" s="21"/>
      <c r="C406" s="25"/>
    </row>
    <row r="407" spans="1:3" x14ac:dyDescent="0.45">
      <c r="A407" s="21"/>
      <c r="C407" s="25"/>
    </row>
    <row r="408" spans="1:3" x14ac:dyDescent="0.45">
      <c r="A408" s="21"/>
      <c r="C408" s="25"/>
    </row>
    <row r="409" spans="1:3" x14ac:dyDescent="0.45">
      <c r="A409" s="21"/>
      <c r="C409" s="25"/>
    </row>
    <row r="410" spans="1:3" x14ac:dyDescent="0.45">
      <c r="A410" s="21"/>
      <c r="C410" s="25"/>
    </row>
    <row r="411" spans="1:3" x14ac:dyDescent="0.45">
      <c r="A411" s="21"/>
      <c r="C411" s="25"/>
    </row>
    <row r="412" spans="1:3" x14ac:dyDescent="0.45">
      <c r="A412" s="21"/>
      <c r="C412" s="25"/>
    </row>
    <row r="413" spans="1:3" x14ac:dyDescent="0.45">
      <c r="A413" s="21"/>
      <c r="C413" s="25"/>
    </row>
    <row r="414" spans="1:3" x14ac:dyDescent="0.45">
      <c r="A414" s="21"/>
      <c r="C414" s="25"/>
    </row>
    <row r="415" spans="1:3" x14ac:dyDescent="0.45">
      <c r="A415" s="21"/>
      <c r="C415" s="25"/>
    </row>
    <row r="416" spans="1:3" x14ac:dyDescent="0.45">
      <c r="A416" s="21"/>
      <c r="C416" s="25"/>
    </row>
    <row r="417" spans="1:3" x14ac:dyDescent="0.45">
      <c r="A417" s="21"/>
      <c r="C417" s="25"/>
    </row>
    <row r="418" spans="1:3" x14ac:dyDescent="0.45">
      <c r="A418" s="21"/>
      <c r="C418" s="25"/>
    </row>
    <row r="419" spans="1:3" x14ac:dyDescent="0.45">
      <c r="A419" s="21"/>
      <c r="C419" s="25"/>
    </row>
    <row r="420" spans="1:3" x14ac:dyDescent="0.45">
      <c r="A420" s="21"/>
      <c r="C420" s="25"/>
    </row>
    <row r="421" spans="1:3" x14ac:dyDescent="0.45">
      <c r="A421" s="21"/>
      <c r="C421" s="25"/>
    </row>
    <row r="422" spans="1:3" x14ac:dyDescent="0.45">
      <c r="A422" s="21"/>
      <c r="C422" s="25"/>
    </row>
    <row r="423" spans="1:3" x14ac:dyDescent="0.45">
      <c r="A423" s="21"/>
      <c r="C423" s="25"/>
    </row>
    <row r="424" spans="1:3" x14ac:dyDescent="0.45">
      <c r="A424" s="21"/>
      <c r="C424" s="25"/>
    </row>
    <row r="425" spans="1:3" x14ac:dyDescent="0.45">
      <c r="A425" s="21"/>
      <c r="C425" s="25"/>
    </row>
    <row r="426" spans="1:3" x14ac:dyDescent="0.45">
      <c r="A426" s="21"/>
      <c r="C426" s="25"/>
    </row>
    <row r="427" spans="1:3" x14ac:dyDescent="0.45">
      <c r="A427" s="21"/>
      <c r="C427" s="25"/>
    </row>
    <row r="428" spans="1:3" x14ac:dyDescent="0.45">
      <c r="A428" s="21"/>
      <c r="C428" s="25"/>
    </row>
    <row r="429" spans="1:3" x14ac:dyDescent="0.45">
      <c r="A429" s="21"/>
      <c r="C429" s="25"/>
    </row>
    <row r="430" spans="1:3" x14ac:dyDescent="0.45">
      <c r="A430" s="21"/>
      <c r="C430" s="25"/>
    </row>
    <row r="431" spans="1:3" x14ac:dyDescent="0.45">
      <c r="A431" s="21"/>
      <c r="C431" s="25"/>
    </row>
    <row r="432" spans="1:3" x14ac:dyDescent="0.45">
      <c r="A432" s="21"/>
      <c r="C432" s="25"/>
    </row>
    <row r="433" spans="1:3" x14ac:dyDescent="0.45">
      <c r="A433" s="21"/>
      <c r="C433" s="25"/>
    </row>
    <row r="434" spans="1:3" x14ac:dyDescent="0.45">
      <c r="A434" s="21"/>
      <c r="C434" s="25"/>
    </row>
    <row r="435" spans="1:3" x14ac:dyDescent="0.45">
      <c r="A435" s="21"/>
      <c r="C435" s="25"/>
    </row>
    <row r="436" spans="1:3" x14ac:dyDescent="0.45">
      <c r="A436" s="21"/>
      <c r="C436" s="25"/>
    </row>
    <row r="437" spans="1:3" x14ac:dyDescent="0.45">
      <c r="A437" s="21"/>
      <c r="C437" s="25"/>
    </row>
    <row r="438" spans="1:3" x14ac:dyDescent="0.45">
      <c r="A438" s="21"/>
      <c r="C438" s="25"/>
    </row>
    <row r="439" spans="1:3" x14ac:dyDescent="0.45">
      <c r="A439" s="21"/>
      <c r="C439" s="25"/>
    </row>
    <row r="440" spans="1:3" x14ac:dyDescent="0.45">
      <c r="A440" s="21"/>
      <c r="C440" s="25"/>
    </row>
    <row r="441" spans="1:3" x14ac:dyDescent="0.45">
      <c r="A441" s="21"/>
      <c r="C441" s="25"/>
    </row>
    <row r="442" spans="1:3" x14ac:dyDescent="0.45">
      <c r="A442" s="21"/>
      <c r="C442" s="25"/>
    </row>
    <row r="443" spans="1:3" x14ac:dyDescent="0.45">
      <c r="A443" s="21"/>
      <c r="C443" s="25"/>
    </row>
    <row r="444" spans="1:3" x14ac:dyDescent="0.45">
      <c r="A444" s="21"/>
      <c r="C444" s="25"/>
    </row>
    <row r="445" spans="1:3" x14ac:dyDescent="0.45">
      <c r="A445" s="21"/>
      <c r="C445" s="25"/>
    </row>
    <row r="446" spans="1:3" x14ac:dyDescent="0.45">
      <c r="A446" s="21"/>
      <c r="C446" s="25"/>
    </row>
    <row r="447" spans="1:3" x14ac:dyDescent="0.45">
      <c r="A447" s="21"/>
      <c r="C447" s="25"/>
    </row>
    <row r="448" spans="1:3" x14ac:dyDescent="0.45">
      <c r="A448" s="21"/>
      <c r="C448" s="25"/>
    </row>
    <row r="449" spans="1:3" x14ac:dyDescent="0.45">
      <c r="A449" s="21"/>
      <c r="C449" s="25"/>
    </row>
    <row r="450" spans="1:3" x14ac:dyDescent="0.45">
      <c r="A450" s="21"/>
      <c r="C450" s="25"/>
    </row>
    <row r="451" spans="1:3" x14ac:dyDescent="0.45">
      <c r="A451" s="21"/>
      <c r="C451" s="25"/>
    </row>
    <row r="452" spans="1:3" x14ac:dyDescent="0.45">
      <c r="A452" s="21"/>
      <c r="C452" s="25"/>
    </row>
    <row r="453" spans="1:3" x14ac:dyDescent="0.45">
      <c r="A453" s="21"/>
      <c r="C453" s="25"/>
    </row>
    <row r="454" spans="1:3" x14ac:dyDescent="0.45">
      <c r="A454" s="21"/>
      <c r="C454" s="25"/>
    </row>
    <row r="455" spans="1:3" x14ac:dyDescent="0.45">
      <c r="A455" s="21"/>
      <c r="C455" s="25"/>
    </row>
    <row r="456" spans="1:3" x14ac:dyDescent="0.45">
      <c r="A456" s="21"/>
      <c r="C456" s="25"/>
    </row>
    <row r="457" spans="1:3" x14ac:dyDescent="0.45">
      <c r="A457" s="21"/>
      <c r="C457" s="25"/>
    </row>
    <row r="458" spans="1:3" x14ac:dyDescent="0.45">
      <c r="A458" s="21"/>
      <c r="C458" s="25"/>
    </row>
    <row r="459" spans="1:3" x14ac:dyDescent="0.45">
      <c r="A459" s="21"/>
      <c r="C459" s="25"/>
    </row>
    <row r="460" spans="1:3" x14ac:dyDescent="0.45">
      <c r="A460" s="21"/>
      <c r="C460" s="25"/>
    </row>
    <row r="461" spans="1:3" x14ac:dyDescent="0.45">
      <c r="A461" s="21"/>
      <c r="C461" s="25"/>
    </row>
    <row r="462" spans="1:3" x14ac:dyDescent="0.45">
      <c r="A462" s="21"/>
      <c r="C462" s="25"/>
    </row>
    <row r="463" spans="1:3" x14ac:dyDescent="0.45">
      <c r="A463" s="21"/>
      <c r="C463" s="25"/>
    </row>
    <row r="464" spans="1:3" x14ac:dyDescent="0.45">
      <c r="A464" s="21"/>
      <c r="C464" s="25"/>
    </row>
    <row r="465" spans="1:3" x14ac:dyDescent="0.45">
      <c r="A465" s="21"/>
      <c r="C465" s="25"/>
    </row>
    <row r="466" spans="1:3" x14ac:dyDescent="0.45">
      <c r="A466" s="21"/>
      <c r="C466" s="25"/>
    </row>
    <row r="467" spans="1:3" x14ac:dyDescent="0.45">
      <c r="A467" s="21"/>
      <c r="C467" s="25"/>
    </row>
    <row r="468" spans="1:3" x14ac:dyDescent="0.45">
      <c r="A468" s="21"/>
      <c r="C468" s="25"/>
    </row>
    <row r="469" spans="1:3" x14ac:dyDescent="0.45">
      <c r="A469" s="21"/>
      <c r="C469" s="25"/>
    </row>
    <row r="470" spans="1:3" x14ac:dyDescent="0.45">
      <c r="A470" s="21"/>
      <c r="C470" s="25"/>
    </row>
    <row r="471" spans="1:3" x14ac:dyDescent="0.45">
      <c r="A471" s="21"/>
      <c r="C471" s="25"/>
    </row>
    <row r="472" spans="1:3" x14ac:dyDescent="0.45">
      <c r="A472" s="21"/>
      <c r="C472" s="25"/>
    </row>
    <row r="473" spans="1:3" x14ac:dyDescent="0.45">
      <c r="A473" s="21"/>
      <c r="C473" s="25"/>
    </row>
    <row r="474" spans="1:3" x14ac:dyDescent="0.45">
      <c r="A474" s="21"/>
      <c r="C474" s="25"/>
    </row>
    <row r="475" spans="1:3" x14ac:dyDescent="0.45">
      <c r="A475" s="21"/>
      <c r="C475" s="25"/>
    </row>
    <row r="476" spans="1:3" x14ac:dyDescent="0.45">
      <c r="A476" s="21"/>
      <c r="C476" s="25"/>
    </row>
    <row r="477" spans="1:3" x14ac:dyDescent="0.45">
      <c r="A477" s="21"/>
      <c r="C477" s="25"/>
    </row>
    <row r="478" spans="1:3" x14ac:dyDescent="0.45">
      <c r="A478" s="21"/>
      <c r="C478" s="25"/>
    </row>
    <row r="479" spans="1:3" x14ac:dyDescent="0.45">
      <c r="A479" s="21"/>
      <c r="C479" s="25"/>
    </row>
    <row r="480" spans="1:3" x14ac:dyDescent="0.45">
      <c r="A480" s="21"/>
      <c r="C480" s="25"/>
    </row>
    <row r="481" spans="1:3" x14ac:dyDescent="0.45">
      <c r="A481" s="21"/>
      <c r="C481" s="25"/>
    </row>
    <row r="482" spans="1:3" x14ac:dyDescent="0.45">
      <c r="A482" s="21"/>
      <c r="C482" s="25"/>
    </row>
    <row r="483" spans="1:3" x14ac:dyDescent="0.45">
      <c r="A483" s="21"/>
      <c r="C483" s="25"/>
    </row>
    <row r="484" spans="1:3" x14ac:dyDescent="0.45">
      <c r="A484" s="21"/>
      <c r="C484" s="25"/>
    </row>
    <row r="485" spans="1:3" x14ac:dyDescent="0.45">
      <c r="A485" s="21"/>
      <c r="C485" s="25"/>
    </row>
    <row r="486" spans="1:3" x14ac:dyDescent="0.45">
      <c r="A486" s="21"/>
      <c r="C486" s="25"/>
    </row>
    <row r="487" spans="1:3" x14ac:dyDescent="0.45">
      <c r="A487" s="21"/>
      <c r="C487" s="25"/>
    </row>
    <row r="488" spans="1:3" x14ac:dyDescent="0.45">
      <c r="A488" s="21"/>
      <c r="C488" s="25"/>
    </row>
    <row r="489" spans="1:3" x14ac:dyDescent="0.45">
      <c r="A489" s="21"/>
      <c r="C489" s="25"/>
    </row>
    <row r="490" spans="1:3" x14ac:dyDescent="0.45">
      <c r="A490" s="21"/>
      <c r="C490" s="25"/>
    </row>
    <row r="491" spans="1:3" x14ac:dyDescent="0.45">
      <c r="A491" s="21"/>
      <c r="C491" s="25"/>
    </row>
    <row r="492" spans="1:3" x14ac:dyDescent="0.45">
      <c r="A492" s="21"/>
      <c r="C492" s="25"/>
    </row>
    <row r="493" spans="1:3" x14ac:dyDescent="0.45">
      <c r="A493" s="21"/>
      <c r="C493" s="25"/>
    </row>
    <row r="494" spans="1:3" x14ac:dyDescent="0.45">
      <c r="A494" s="21"/>
      <c r="C494" s="25"/>
    </row>
    <row r="495" spans="1:3" x14ac:dyDescent="0.45">
      <c r="A495" s="21"/>
      <c r="C495" s="25"/>
    </row>
    <row r="496" spans="1:3" x14ac:dyDescent="0.45">
      <c r="A496" s="21"/>
      <c r="C496" s="25"/>
    </row>
    <row r="497" spans="1:3" x14ac:dyDescent="0.45">
      <c r="A497" s="21"/>
      <c r="C497" s="25"/>
    </row>
    <row r="498" spans="1:3" x14ac:dyDescent="0.45">
      <c r="A498" s="21"/>
      <c r="C498" s="25"/>
    </row>
    <row r="499" spans="1:3" x14ac:dyDescent="0.45">
      <c r="A499" s="21"/>
      <c r="C499" s="25"/>
    </row>
    <row r="500" spans="1:3" x14ac:dyDescent="0.45">
      <c r="A500" s="21"/>
      <c r="C500" s="25"/>
    </row>
    <row r="501" spans="1:3" x14ac:dyDescent="0.45">
      <c r="A501" s="21"/>
      <c r="C501" s="25"/>
    </row>
    <row r="502" spans="1:3" x14ac:dyDescent="0.45">
      <c r="A502" s="21"/>
      <c r="C502" s="25"/>
    </row>
    <row r="503" spans="1:3" x14ac:dyDescent="0.45">
      <c r="A503" s="21"/>
      <c r="C503" s="25"/>
    </row>
    <row r="504" spans="1:3" x14ac:dyDescent="0.45">
      <c r="A504" s="21"/>
      <c r="C504" s="25"/>
    </row>
    <row r="505" spans="1:3" x14ac:dyDescent="0.45">
      <c r="A505" s="21"/>
    </row>
    <row r="506" spans="1:3" x14ac:dyDescent="0.45">
      <c r="A506" s="21"/>
    </row>
    <row r="507" spans="1:3" x14ac:dyDescent="0.45">
      <c r="A507" s="21"/>
    </row>
    <row r="508" spans="1:3" x14ac:dyDescent="0.45">
      <c r="A508" s="21"/>
    </row>
    <row r="509" spans="1:3" x14ac:dyDescent="0.45">
      <c r="A509" s="21"/>
    </row>
    <row r="510" spans="1:3" x14ac:dyDescent="0.45">
      <c r="A510" s="21"/>
    </row>
    <row r="511" spans="1:3" x14ac:dyDescent="0.45">
      <c r="A511" s="21"/>
    </row>
    <row r="512" spans="1:3" x14ac:dyDescent="0.45">
      <c r="A512" s="21"/>
    </row>
    <row r="513" spans="1:1" x14ac:dyDescent="0.45">
      <c r="A513" s="21"/>
    </row>
    <row r="514" spans="1:1" x14ac:dyDescent="0.45">
      <c r="A514" s="21"/>
    </row>
    <row r="515" spans="1:1" x14ac:dyDescent="0.45">
      <c r="A515" s="21"/>
    </row>
    <row r="516" spans="1:1" x14ac:dyDescent="0.45">
      <c r="A516" s="21"/>
    </row>
    <row r="517" spans="1:1" x14ac:dyDescent="0.45">
      <c r="A517" s="21"/>
    </row>
    <row r="518" spans="1:1" x14ac:dyDescent="0.45">
      <c r="A518" s="21"/>
    </row>
    <row r="519" spans="1:1" x14ac:dyDescent="0.45">
      <c r="A519" s="21"/>
    </row>
    <row r="520" spans="1:1" x14ac:dyDescent="0.45">
      <c r="A520" s="21"/>
    </row>
    <row r="521" spans="1:1" x14ac:dyDescent="0.45">
      <c r="A521" s="21"/>
    </row>
    <row r="522" spans="1:1" x14ac:dyDescent="0.45">
      <c r="A522" s="21"/>
    </row>
    <row r="523" spans="1:1" x14ac:dyDescent="0.45">
      <c r="A523" s="21"/>
    </row>
    <row r="524" spans="1:1" x14ac:dyDescent="0.45">
      <c r="A524" s="21"/>
    </row>
    <row r="525" spans="1:1" x14ac:dyDescent="0.45">
      <c r="A525" s="21"/>
    </row>
    <row r="526" spans="1:1" x14ac:dyDescent="0.45">
      <c r="A526" s="21"/>
    </row>
    <row r="527" spans="1:1" x14ac:dyDescent="0.45">
      <c r="A527" s="21"/>
    </row>
    <row r="528" spans="1:1" x14ac:dyDescent="0.45">
      <c r="A528" s="21"/>
    </row>
    <row r="529" spans="1:1" x14ac:dyDescent="0.45">
      <c r="A529" s="21"/>
    </row>
    <row r="530" spans="1:1" x14ac:dyDescent="0.45">
      <c r="A530" s="21"/>
    </row>
    <row r="531" spans="1:1" x14ac:dyDescent="0.45">
      <c r="A531" s="21"/>
    </row>
    <row r="532" spans="1:1" x14ac:dyDescent="0.45">
      <c r="A532" s="21"/>
    </row>
    <row r="533" spans="1:1" x14ac:dyDescent="0.45">
      <c r="A533" s="21"/>
    </row>
    <row r="534" spans="1:1" x14ac:dyDescent="0.45">
      <c r="A534" s="21"/>
    </row>
    <row r="535" spans="1:1" x14ac:dyDescent="0.45">
      <c r="A535" s="21"/>
    </row>
    <row r="536" spans="1:1" x14ac:dyDescent="0.45">
      <c r="A536" s="21"/>
    </row>
    <row r="537" spans="1:1" x14ac:dyDescent="0.45">
      <c r="A537" s="21"/>
    </row>
    <row r="538" spans="1:1" x14ac:dyDescent="0.45">
      <c r="A538" s="21"/>
    </row>
    <row r="539" spans="1:1" x14ac:dyDescent="0.45">
      <c r="A539" s="21"/>
    </row>
    <row r="540" spans="1:1" x14ac:dyDescent="0.45">
      <c r="A540" s="21"/>
    </row>
    <row r="541" spans="1:1" x14ac:dyDescent="0.45">
      <c r="A541" s="21"/>
    </row>
    <row r="542" spans="1:1" x14ac:dyDescent="0.45">
      <c r="A542" s="21"/>
    </row>
    <row r="543" spans="1:1" x14ac:dyDescent="0.45">
      <c r="A543" s="21"/>
    </row>
    <row r="544" spans="1:1" x14ac:dyDescent="0.45">
      <c r="A544" s="21"/>
    </row>
    <row r="545" spans="1:1" x14ac:dyDescent="0.45">
      <c r="A545" s="21"/>
    </row>
    <row r="546" spans="1:1" x14ac:dyDescent="0.45">
      <c r="A546" s="21"/>
    </row>
    <row r="547" spans="1:1" x14ac:dyDescent="0.45">
      <c r="A547" s="21"/>
    </row>
    <row r="548" spans="1:1" x14ac:dyDescent="0.45">
      <c r="A548" s="21"/>
    </row>
    <row r="549" spans="1:1" x14ac:dyDescent="0.45">
      <c r="A549" s="21"/>
    </row>
    <row r="550" spans="1:1" x14ac:dyDescent="0.45">
      <c r="A550" s="21"/>
    </row>
    <row r="551" spans="1:1" x14ac:dyDescent="0.45">
      <c r="A551" s="21"/>
    </row>
    <row r="552" spans="1:1" x14ac:dyDescent="0.45">
      <c r="A552" s="21"/>
    </row>
    <row r="553" spans="1:1" x14ac:dyDescent="0.45">
      <c r="A553" s="21"/>
    </row>
    <row r="554" spans="1:1" x14ac:dyDescent="0.45">
      <c r="A554" s="21"/>
    </row>
    <row r="555" spans="1:1" x14ac:dyDescent="0.45">
      <c r="A555" s="21"/>
    </row>
    <row r="556" spans="1:1" x14ac:dyDescent="0.45">
      <c r="A556" s="21"/>
    </row>
    <row r="557" spans="1:1" x14ac:dyDescent="0.45">
      <c r="A557" s="21"/>
    </row>
    <row r="558" spans="1:1" x14ac:dyDescent="0.45">
      <c r="A558" s="21"/>
    </row>
    <row r="559" spans="1:1" x14ac:dyDescent="0.45">
      <c r="A559" s="21"/>
    </row>
    <row r="560" spans="1:1" x14ac:dyDescent="0.45">
      <c r="A560" s="21"/>
    </row>
    <row r="561" spans="1:1" x14ac:dyDescent="0.45">
      <c r="A561" s="21"/>
    </row>
    <row r="562" spans="1:1" x14ac:dyDescent="0.45">
      <c r="A562" s="21"/>
    </row>
    <row r="563" spans="1:1" x14ac:dyDescent="0.45">
      <c r="A563" s="21"/>
    </row>
    <row r="564" spans="1:1" x14ac:dyDescent="0.45">
      <c r="A564" s="21"/>
    </row>
    <row r="565" spans="1:1" x14ac:dyDescent="0.45">
      <c r="A565" s="21"/>
    </row>
    <row r="566" spans="1:1" x14ac:dyDescent="0.45">
      <c r="A566" s="21"/>
    </row>
    <row r="567" spans="1:1" x14ac:dyDescent="0.45">
      <c r="A567" s="21"/>
    </row>
    <row r="568" spans="1:1" x14ac:dyDescent="0.45">
      <c r="A568" s="21"/>
    </row>
    <row r="569" spans="1:1" x14ac:dyDescent="0.45">
      <c r="A569" s="21"/>
    </row>
    <row r="570" spans="1:1" x14ac:dyDescent="0.45">
      <c r="A570" s="21"/>
    </row>
    <row r="571" spans="1:1" x14ac:dyDescent="0.45">
      <c r="A571" s="21"/>
    </row>
    <row r="572" spans="1:1" x14ac:dyDescent="0.45">
      <c r="A572" s="21"/>
    </row>
    <row r="573" spans="1:1" x14ac:dyDescent="0.45">
      <c r="A573" s="21"/>
    </row>
    <row r="574" spans="1:1" x14ac:dyDescent="0.45">
      <c r="A574" s="21"/>
    </row>
    <row r="575" spans="1:1" x14ac:dyDescent="0.45">
      <c r="A575" s="21"/>
    </row>
    <row r="576" spans="1:1" x14ac:dyDescent="0.45">
      <c r="A576" s="21"/>
    </row>
    <row r="577" spans="1:1" x14ac:dyDescent="0.45">
      <c r="A577" s="21"/>
    </row>
    <row r="578" spans="1:1" x14ac:dyDescent="0.45">
      <c r="A578" s="21"/>
    </row>
    <row r="579" spans="1:1" x14ac:dyDescent="0.45">
      <c r="A579" s="21"/>
    </row>
    <row r="580" spans="1:1" x14ac:dyDescent="0.45">
      <c r="A580" s="21"/>
    </row>
    <row r="581" spans="1:1" x14ac:dyDescent="0.45">
      <c r="A581" s="21"/>
    </row>
    <row r="582" spans="1:1" x14ac:dyDescent="0.45">
      <c r="A582" s="21"/>
    </row>
    <row r="583" spans="1:1" x14ac:dyDescent="0.45">
      <c r="A583" s="21"/>
    </row>
    <row r="584" spans="1:1" x14ac:dyDescent="0.45">
      <c r="A584" s="21"/>
    </row>
    <row r="585" spans="1:1" x14ac:dyDescent="0.45">
      <c r="A585" s="21"/>
    </row>
    <row r="586" spans="1:1" x14ac:dyDescent="0.45">
      <c r="A586" s="21"/>
    </row>
    <row r="587" spans="1:1" x14ac:dyDescent="0.45">
      <c r="A587" s="21"/>
    </row>
    <row r="588" spans="1:1" x14ac:dyDescent="0.45">
      <c r="A588" s="21"/>
    </row>
    <row r="589" spans="1:1" x14ac:dyDescent="0.45">
      <c r="A589" s="21"/>
    </row>
    <row r="590" spans="1:1" x14ac:dyDescent="0.45">
      <c r="A590" s="21"/>
    </row>
    <row r="591" spans="1:1" x14ac:dyDescent="0.45">
      <c r="A591" s="21"/>
    </row>
    <row r="592" spans="1:1" x14ac:dyDescent="0.45">
      <c r="A592" s="21"/>
    </row>
    <row r="593" spans="1:1" x14ac:dyDescent="0.45">
      <c r="A593" s="21"/>
    </row>
    <row r="594" spans="1:1" x14ac:dyDescent="0.45">
      <c r="A594" s="21"/>
    </row>
    <row r="595" spans="1:1" x14ac:dyDescent="0.45">
      <c r="A595" s="21"/>
    </row>
    <row r="596" spans="1:1" x14ac:dyDescent="0.45">
      <c r="A596" s="21"/>
    </row>
    <row r="597" spans="1:1" x14ac:dyDescent="0.45">
      <c r="A597" s="21"/>
    </row>
    <row r="598" spans="1:1" x14ac:dyDescent="0.45">
      <c r="A598" s="21"/>
    </row>
    <row r="599" spans="1:1" x14ac:dyDescent="0.45">
      <c r="A599" s="21"/>
    </row>
    <row r="600" spans="1:1" x14ac:dyDescent="0.45">
      <c r="A600" s="21"/>
    </row>
    <row r="601" spans="1:1" x14ac:dyDescent="0.45">
      <c r="A601" s="21"/>
    </row>
    <row r="602" spans="1:1" x14ac:dyDescent="0.45">
      <c r="A602" s="21"/>
    </row>
    <row r="603" spans="1:1" x14ac:dyDescent="0.45">
      <c r="A603" s="21"/>
    </row>
    <row r="604" spans="1:1" x14ac:dyDescent="0.45">
      <c r="A604" s="21"/>
    </row>
    <row r="605" spans="1:1" x14ac:dyDescent="0.45">
      <c r="A605" s="21"/>
    </row>
    <row r="606" spans="1:1" x14ac:dyDescent="0.45">
      <c r="A606" s="21"/>
    </row>
    <row r="607" spans="1:1" x14ac:dyDescent="0.45">
      <c r="A607" s="21"/>
    </row>
    <row r="608" spans="1:1" x14ac:dyDescent="0.45">
      <c r="A608" s="21"/>
    </row>
    <row r="609" spans="1:1" x14ac:dyDescent="0.45">
      <c r="A609" s="21"/>
    </row>
    <row r="610" spans="1:1" x14ac:dyDescent="0.45">
      <c r="A610" s="21"/>
    </row>
    <row r="611" spans="1:1" x14ac:dyDescent="0.45">
      <c r="A611" s="21"/>
    </row>
    <row r="612" spans="1:1" x14ac:dyDescent="0.45">
      <c r="A612" s="21"/>
    </row>
    <row r="613" spans="1:1" x14ac:dyDescent="0.45">
      <c r="A613" s="21"/>
    </row>
    <row r="614" spans="1:1" x14ac:dyDescent="0.45">
      <c r="A614" s="21"/>
    </row>
    <row r="615" spans="1:1" x14ac:dyDescent="0.45">
      <c r="A615" s="21"/>
    </row>
    <row r="616" spans="1:1" x14ac:dyDescent="0.45">
      <c r="A616" s="21"/>
    </row>
    <row r="617" spans="1:1" x14ac:dyDescent="0.45">
      <c r="A617" s="21"/>
    </row>
    <row r="618" spans="1:1" x14ac:dyDescent="0.45">
      <c r="A618" s="21"/>
    </row>
    <row r="619" spans="1:1" x14ac:dyDescent="0.45">
      <c r="A619" s="21"/>
    </row>
    <row r="620" spans="1:1" x14ac:dyDescent="0.45">
      <c r="A620" s="21"/>
    </row>
    <row r="621" spans="1:1" x14ac:dyDescent="0.45">
      <c r="A621" s="21"/>
    </row>
    <row r="622" spans="1:1" x14ac:dyDescent="0.45">
      <c r="A622" s="21"/>
    </row>
    <row r="623" spans="1:1" x14ac:dyDescent="0.45">
      <c r="A623" s="21"/>
    </row>
    <row r="624" spans="1:1" x14ac:dyDescent="0.45">
      <c r="A624" s="21"/>
    </row>
    <row r="625" spans="1:1" x14ac:dyDescent="0.45">
      <c r="A625" s="21"/>
    </row>
    <row r="626" spans="1:1" x14ac:dyDescent="0.45">
      <c r="A626" s="21"/>
    </row>
    <row r="627" spans="1:1" x14ac:dyDescent="0.45">
      <c r="A627" s="21"/>
    </row>
    <row r="628" spans="1:1" x14ac:dyDescent="0.45">
      <c r="A628" s="21"/>
    </row>
    <row r="629" spans="1:1" x14ac:dyDescent="0.45">
      <c r="A629" s="21"/>
    </row>
    <row r="630" spans="1:1" x14ac:dyDescent="0.45">
      <c r="A630" s="21"/>
    </row>
    <row r="631" spans="1:1" x14ac:dyDescent="0.45">
      <c r="A631" s="21"/>
    </row>
    <row r="632" spans="1:1" x14ac:dyDescent="0.45">
      <c r="A632" s="21"/>
    </row>
    <row r="633" spans="1:1" x14ac:dyDescent="0.45">
      <c r="A633" s="21"/>
    </row>
    <row r="634" spans="1:1" x14ac:dyDescent="0.45">
      <c r="A634" s="21"/>
    </row>
    <row r="635" spans="1:1" x14ac:dyDescent="0.45">
      <c r="A635" s="21"/>
    </row>
    <row r="636" spans="1:1" x14ac:dyDescent="0.45">
      <c r="A636" s="21"/>
    </row>
    <row r="637" spans="1:1" x14ac:dyDescent="0.45">
      <c r="A637" s="21"/>
    </row>
    <row r="638" spans="1:1" x14ac:dyDescent="0.45">
      <c r="A638" s="21"/>
    </row>
    <row r="639" spans="1:1" x14ac:dyDescent="0.45">
      <c r="A639" s="21"/>
    </row>
    <row r="640" spans="1:1" x14ac:dyDescent="0.45">
      <c r="A640" s="21"/>
    </row>
    <row r="641" spans="1:1" x14ac:dyDescent="0.45">
      <c r="A641" s="21"/>
    </row>
    <row r="642" spans="1:1" x14ac:dyDescent="0.45">
      <c r="A642" s="21"/>
    </row>
    <row r="643" spans="1:1" x14ac:dyDescent="0.45">
      <c r="A643" s="21"/>
    </row>
    <row r="644" spans="1:1" x14ac:dyDescent="0.45">
      <c r="A644" s="21"/>
    </row>
    <row r="645" spans="1:1" x14ac:dyDescent="0.45">
      <c r="A645" s="21"/>
    </row>
    <row r="646" spans="1:1" x14ac:dyDescent="0.45">
      <c r="A646" s="21"/>
    </row>
    <row r="647" spans="1:1" x14ac:dyDescent="0.45">
      <c r="A647" s="21"/>
    </row>
    <row r="648" spans="1:1" x14ac:dyDescent="0.45">
      <c r="A648" s="21"/>
    </row>
    <row r="649" spans="1:1" x14ac:dyDescent="0.45">
      <c r="A649" s="21"/>
    </row>
    <row r="650" spans="1:1" x14ac:dyDescent="0.45">
      <c r="A650" s="21"/>
    </row>
    <row r="651" spans="1:1" x14ac:dyDescent="0.45">
      <c r="A651" s="21"/>
    </row>
    <row r="652" spans="1:1" x14ac:dyDescent="0.45">
      <c r="A652" s="21"/>
    </row>
  </sheetData>
  <conditionalFormatting sqref="M2 I1:I1048576">
    <cfRule type="cellIs" dxfId="3" priority="98" operator="equal">
      <formula>"Failed"</formula>
    </cfRule>
    <cfRule type="cellIs" dxfId="2" priority="99" operator="equal">
      <formula>"Not Run"</formula>
    </cfRule>
    <cfRule type="cellIs" dxfId="1" priority="100" operator="equal">
      <formula>"Passed"</formula>
    </cfRule>
  </conditionalFormatting>
  <conditionalFormatting sqref="I2:I993">
    <cfRule type="containsText" dxfId="0" priority="97" operator="containsText" text="Blocked">
      <formula>NOT(ISERROR(SEARCH("Blocked",I2)))</formula>
    </cfRule>
  </conditionalFormatting>
  <dataValidations count="5">
    <dataValidation type="list" allowBlank="1" showInputMessage="1" showErrorMessage="1" sqref="M2" xr:uid="{D6497F74-61EE-4C48-B6E5-952D11B6FC38}">
      <formula1>"Correct,Incorrect,Suggestion"</formula1>
    </dataValidation>
    <dataValidation type="list" allowBlank="1" showInputMessage="1" showErrorMessage="1" sqref="C2" xr:uid="{F06EFD2E-051C-4048-9EA8-7FE4630778E3}">
      <formula1>"Observation, Header, Enfd of File"</formula1>
    </dataValidation>
    <dataValidation type="list" allowBlank="1" showInputMessage="1" showErrorMessage="1" sqref="I2:I650" xr:uid="{FFA018B6-FED9-403C-8ADE-255F79E6351C}">
      <formula1>"Passed,Failed,Blocked,Not Run"</formula1>
    </dataValidation>
    <dataValidation type="list" allowBlank="1" showInputMessage="1" showErrorMessage="1" sqref="I651:I1048576" xr:uid="{3ECD1D2D-FCEC-42EF-BF83-6E90CBD07772}">
      <formula1>"Correct,Incorrect,Suggestion,Can't Tested"</formula1>
    </dataValidation>
    <dataValidation type="list" allowBlank="1" showInputMessage="1" showErrorMessage="1" sqref="B2:B13" xr:uid="{2C77D634-F0FA-4693-B6B7-0E0A92D861F2}">
      <formula1>"Observation, Header, End of File"</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G655"/>
  <sheetViews>
    <sheetView topLeftCell="C1" workbookViewId="0">
      <selection activeCell="G11" sqref="G11"/>
    </sheetView>
  </sheetViews>
  <sheetFormatPr defaultRowHeight="14.25" x14ac:dyDescent="0.45"/>
  <cols>
    <col min="1" max="1" width="8.73046875" customWidth="1"/>
    <col min="3" max="3" width="22.86328125" bestFit="1" customWidth="1"/>
    <col min="6" max="6" width="17.1328125" customWidth="1"/>
    <col min="7" max="7" width="21.73046875" customWidth="1"/>
  </cols>
  <sheetData>
    <row r="3" spans="1:7" x14ac:dyDescent="0.45">
      <c r="A3" s="20"/>
      <c r="C3" s="20"/>
    </row>
    <row r="4" spans="1:7" x14ac:dyDescent="0.45">
      <c r="A4" s="20"/>
      <c r="C4" s="20"/>
    </row>
    <row r="5" spans="1:7" x14ac:dyDescent="0.45">
      <c r="A5" s="20"/>
      <c r="C5" s="20"/>
    </row>
    <row r="6" spans="1:7" x14ac:dyDescent="0.45">
      <c r="A6" s="20"/>
      <c r="C6" s="20"/>
    </row>
    <row r="7" spans="1:7" x14ac:dyDescent="0.45">
      <c r="A7" s="20"/>
      <c r="C7" s="20"/>
      <c r="D7" s="2"/>
      <c r="F7" s="30" t="s">
        <v>13</v>
      </c>
      <c r="G7" s="30"/>
    </row>
    <row r="8" spans="1:7" x14ac:dyDescent="0.45">
      <c r="A8" s="20"/>
      <c r="C8" s="20"/>
      <c r="D8" s="2"/>
      <c r="F8" s="8"/>
      <c r="G8" s="8"/>
    </row>
    <row r="9" spans="1:7" x14ac:dyDescent="0.45">
      <c r="A9" s="20"/>
      <c r="C9" s="20"/>
      <c r="F9" s="4" t="s">
        <v>4</v>
      </c>
      <c r="G9" s="4">
        <f>SUM(COUNTIF(Register!$I$2:$I$392,"Passed"),COUNTIF(Login!$I$2:$I$392,"Passed"),COUNTIF(Checkout!$I$2:$I$392,"Passed"),COUNTIF(CheckYourOrder!$I$2:$I$392,"Passed"),COUNTIF(ContactUs!$I$2:$I$392,"Passed"))</f>
        <v>70</v>
      </c>
    </row>
    <row r="10" spans="1:7" x14ac:dyDescent="0.45">
      <c r="A10" s="20"/>
      <c r="C10" s="20"/>
      <c r="F10" s="5" t="s">
        <v>8</v>
      </c>
      <c r="G10" s="5">
        <f>SUM(COUNTIF(Register!$I$2:$I$392,"Failed"),COUNTIF(Login!$I$2:$I$392,"Failed"),COUNTIF(Checkout!$I$2:$I$392,"Failed"),COUNTIF(CheckYourOrder!$I$2:$I$392,"Failed"),COUNTIF(ContactUs!$I$2:$I$392,"Failed"))</f>
        <v>40</v>
      </c>
    </row>
    <row r="11" spans="1:7" x14ac:dyDescent="0.45">
      <c r="A11" s="20"/>
      <c r="C11" s="20"/>
      <c r="F11" s="6" t="s">
        <v>9</v>
      </c>
      <c r="G11" s="6">
        <f>COUNTIF(Register!$I$2:$I$392,"Suggestion")</f>
        <v>0</v>
      </c>
    </row>
    <row r="12" spans="1:7" x14ac:dyDescent="0.45">
      <c r="A12" s="20"/>
      <c r="F12" s="7" t="s">
        <v>12</v>
      </c>
      <c r="G12" s="7">
        <f>COUNTIF(Register!$I$2:$I$392,"Can't Test")</f>
        <v>0</v>
      </c>
    </row>
    <row r="13" spans="1:7" x14ac:dyDescent="0.45">
      <c r="A13" s="20"/>
      <c r="C13" s="20"/>
    </row>
    <row r="14" spans="1:7" x14ac:dyDescent="0.45">
      <c r="A14" s="20"/>
      <c r="C14" s="20"/>
    </row>
    <row r="15" spans="1:7" x14ac:dyDescent="0.45">
      <c r="A15" s="20"/>
      <c r="C15" s="20"/>
      <c r="D15" s="2"/>
    </row>
    <row r="16" spans="1:7" x14ac:dyDescent="0.45">
      <c r="A16" s="20"/>
      <c r="C16" s="20"/>
    </row>
    <row r="17" spans="1:4" x14ac:dyDescent="0.45">
      <c r="A17" s="20"/>
      <c r="C17" s="20"/>
    </row>
    <row r="18" spans="1:4" x14ac:dyDescent="0.45">
      <c r="A18" s="20"/>
      <c r="C18" s="20"/>
    </row>
    <row r="19" spans="1:4" x14ac:dyDescent="0.45">
      <c r="A19" s="20"/>
      <c r="C19" s="20"/>
    </row>
    <row r="20" spans="1:4" x14ac:dyDescent="0.45">
      <c r="A20" s="20"/>
      <c r="C20" s="20"/>
    </row>
    <row r="21" spans="1:4" x14ac:dyDescent="0.45">
      <c r="A21" s="20"/>
      <c r="C21" s="20"/>
    </row>
    <row r="22" spans="1:4" x14ac:dyDescent="0.45">
      <c r="A22" s="20"/>
      <c r="C22" s="20"/>
    </row>
    <row r="23" spans="1:4" x14ac:dyDescent="0.45">
      <c r="A23" s="20"/>
      <c r="C23" s="20"/>
    </row>
    <row r="24" spans="1:4" x14ac:dyDescent="0.45">
      <c r="A24" s="20"/>
      <c r="C24" s="20"/>
    </row>
    <row r="25" spans="1:4" x14ac:dyDescent="0.45">
      <c r="A25" s="20"/>
      <c r="C25" s="20"/>
    </row>
    <row r="26" spans="1:4" x14ac:dyDescent="0.45">
      <c r="A26" s="20"/>
      <c r="C26" s="20"/>
      <c r="D26" s="2"/>
    </row>
    <row r="27" spans="1:4" x14ac:dyDescent="0.45">
      <c r="A27" s="20"/>
      <c r="C27" s="20"/>
    </row>
    <row r="28" spans="1:4" x14ac:dyDescent="0.45">
      <c r="A28" s="20"/>
      <c r="C28" s="20"/>
    </row>
    <row r="29" spans="1:4" x14ac:dyDescent="0.45">
      <c r="A29" s="20"/>
      <c r="C29" s="20"/>
    </row>
    <row r="30" spans="1:4" x14ac:dyDescent="0.45">
      <c r="A30" s="20"/>
      <c r="C30" s="20"/>
    </row>
    <row r="31" spans="1:4" x14ac:dyDescent="0.45">
      <c r="A31" s="20"/>
      <c r="C31" s="20"/>
    </row>
    <row r="32" spans="1:4" x14ac:dyDescent="0.45">
      <c r="A32" s="20"/>
    </row>
    <row r="33" spans="1:1" x14ac:dyDescent="0.45">
      <c r="A33" s="20"/>
    </row>
    <row r="34" spans="1:1" x14ac:dyDescent="0.45">
      <c r="A34" s="20"/>
    </row>
    <row r="35" spans="1:1" x14ac:dyDescent="0.45">
      <c r="A35" s="20"/>
    </row>
    <row r="36" spans="1:1" x14ac:dyDescent="0.45">
      <c r="A36" s="20"/>
    </row>
    <row r="37" spans="1:1" x14ac:dyDescent="0.45">
      <c r="A37" s="20"/>
    </row>
    <row r="38" spans="1:1" x14ac:dyDescent="0.45">
      <c r="A38" s="20"/>
    </row>
    <row r="39" spans="1:1" x14ac:dyDescent="0.45">
      <c r="A39" s="20"/>
    </row>
    <row r="40" spans="1:1" x14ac:dyDescent="0.45">
      <c r="A40" s="20"/>
    </row>
    <row r="41" spans="1:1" x14ac:dyDescent="0.45">
      <c r="A41" s="20"/>
    </row>
    <row r="42" spans="1:1" x14ac:dyDescent="0.45">
      <c r="A42" s="20"/>
    </row>
    <row r="43" spans="1:1" x14ac:dyDescent="0.45">
      <c r="A43" s="20"/>
    </row>
    <row r="44" spans="1:1" x14ac:dyDescent="0.45">
      <c r="A44" s="20"/>
    </row>
    <row r="45" spans="1:1" x14ac:dyDescent="0.45">
      <c r="A45" s="20"/>
    </row>
    <row r="46" spans="1:1" x14ac:dyDescent="0.45">
      <c r="A46" s="20"/>
    </row>
    <row r="47" spans="1:1" x14ac:dyDescent="0.45">
      <c r="A47" s="20"/>
    </row>
    <row r="48" spans="1:1" x14ac:dyDescent="0.45">
      <c r="A48" s="20"/>
    </row>
    <row r="49" spans="1:1" x14ac:dyDescent="0.45">
      <c r="A49" s="20"/>
    </row>
    <row r="50" spans="1:1" x14ac:dyDescent="0.45">
      <c r="A50" s="20"/>
    </row>
    <row r="51" spans="1:1" x14ac:dyDescent="0.45">
      <c r="A51" s="20"/>
    </row>
    <row r="52" spans="1:1" x14ac:dyDescent="0.45">
      <c r="A52" s="20"/>
    </row>
    <row r="53" spans="1:1" x14ac:dyDescent="0.45">
      <c r="A53" s="20"/>
    </row>
    <row r="54" spans="1:1" x14ac:dyDescent="0.45">
      <c r="A54" s="20"/>
    </row>
    <row r="55" spans="1:1" x14ac:dyDescent="0.45">
      <c r="A55" s="20"/>
    </row>
    <row r="56" spans="1:1" x14ac:dyDescent="0.45">
      <c r="A56" s="20"/>
    </row>
    <row r="57" spans="1:1" x14ac:dyDescent="0.45">
      <c r="A57" s="20"/>
    </row>
    <row r="58" spans="1:1" x14ac:dyDescent="0.45">
      <c r="A58" s="20"/>
    </row>
    <row r="59" spans="1:1" x14ac:dyDescent="0.45">
      <c r="A59" s="20"/>
    </row>
    <row r="60" spans="1:1" x14ac:dyDescent="0.45">
      <c r="A60" s="20"/>
    </row>
    <row r="61" spans="1:1" x14ac:dyDescent="0.45">
      <c r="A61" s="20"/>
    </row>
    <row r="62" spans="1:1" x14ac:dyDescent="0.45">
      <c r="A62" s="20"/>
    </row>
    <row r="63" spans="1:1" x14ac:dyDescent="0.45">
      <c r="A63" s="20"/>
    </row>
    <row r="64" spans="1:1" x14ac:dyDescent="0.45">
      <c r="A64" s="20"/>
    </row>
    <row r="65" spans="1:1" x14ac:dyDescent="0.45">
      <c r="A65" s="20"/>
    </row>
    <row r="66" spans="1:1" x14ac:dyDescent="0.45">
      <c r="A66" s="20"/>
    </row>
    <row r="67" spans="1:1" x14ac:dyDescent="0.45">
      <c r="A67" s="20"/>
    </row>
    <row r="68" spans="1:1" x14ac:dyDescent="0.45">
      <c r="A68" s="20"/>
    </row>
    <row r="69" spans="1:1" x14ac:dyDescent="0.45">
      <c r="A69" s="20"/>
    </row>
    <row r="70" spans="1:1" x14ac:dyDescent="0.45">
      <c r="A70" s="20"/>
    </row>
    <row r="71" spans="1:1" x14ac:dyDescent="0.45">
      <c r="A71" s="20"/>
    </row>
    <row r="72" spans="1:1" x14ac:dyDescent="0.45">
      <c r="A72" s="20"/>
    </row>
    <row r="73" spans="1:1" x14ac:dyDescent="0.45">
      <c r="A73" s="20"/>
    </row>
    <row r="74" spans="1:1" x14ac:dyDescent="0.45">
      <c r="A74" s="20"/>
    </row>
    <row r="75" spans="1:1" x14ac:dyDescent="0.45">
      <c r="A75" s="20"/>
    </row>
    <row r="76" spans="1:1" x14ac:dyDescent="0.45">
      <c r="A76" s="20"/>
    </row>
    <row r="77" spans="1:1" x14ac:dyDescent="0.45">
      <c r="A77" s="20"/>
    </row>
    <row r="78" spans="1:1" x14ac:dyDescent="0.45">
      <c r="A78" s="20"/>
    </row>
    <row r="79" spans="1:1" x14ac:dyDescent="0.45">
      <c r="A79" s="20"/>
    </row>
    <row r="80" spans="1:1" x14ac:dyDescent="0.45">
      <c r="A80" s="20"/>
    </row>
    <row r="81" spans="1:1" x14ac:dyDescent="0.45">
      <c r="A81" s="20"/>
    </row>
    <row r="82" spans="1:1" x14ac:dyDescent="0.45">
      <c r="A82" s="20"/>
    </row>
    <row r="83" spans="1:1" x14ac:dyDescent="0.45">
      <c r="A83" s="20"/>
    </row>
    <row r="84" spans="1:1" x14ac:dyDescent="0.45">
      <c r="A84" s="20"/>
    </row>
    <row r="85" spans="1:1" x14ac:dyDescent="0.45">
      <c r="A85" s="20"/>
    </row>
    <row r="86" spans="1:1" x14ac:dyDescent="0.45">
      <c r="A86" s="20"/>
    </row>
    <row r="87" spans="1:1" x14ac:dyDescent="0.45">
      <c r="A87" s="20"/>
    </row>
    <row r="88" spans="1:1" x14ac:dyDescent="0.45">
      <c r="A88" s="20"/>
    </row>
    <row r="89" spans="1:1" x14ac:dyDescent="0.45">
      <c r="A89" s="20"/>
    </row>
    <row r="90" spans="1:1" x14ac:dyDescent="0.45">
      <c r="A90" s="20"/>
    </row>
    <row r="91" spans="1:1" x14ac:dyDescent="0.45">
      <c r="A91" s="20"/>
    </row>
    <row r="92" spans="1:1" x14ac:dyDescent="0.45">
      <c r="A92" s="20"/>
    </row>
    <row r="93" spans="1:1" x14ac:dyDescent="0.45">
      <c r="A93" s="20"/>
    </row>
    <row r="94" spans="1:1" x14ac:dyDescent="0.45">
      <c r="A94" s="20"/>
    </row>
    <row r="95" spans="1:1" x14ac:dyDescent="0.45">
      <c r="A95" s="20"/>
    </row>
    <row r="96" spans="1:1" x14ac:dyDescent="0.45">
      <c r="A96" s="20"/>
    </row>
    <row r="97" spans="1:1" x14ac:dyDescent="0.45">
      <c r="A97" s="20"/>
    </row>
    <row r="98" spans="1:1" x14ac:dyDescent="0.45">
      <c r="A98" s="20"/>
    </row>
    <row r="99" spans="1:1" x14ac:dyDescent="0.45">
      <c r="A99" s="20"/>
    </row>
    <row r="100" spans="1:1" x14ac:dyDescent="0.45">
      <c r="A100" s="20"/>
    </row>
    <row r="101" spans="1:1" x14ac:dyDescent="0.45">
      <c r="A101" s="20"/>
    </row>
    <row r="102" spans="1:1" x14ac:dyDescent="0.45">
      <c r="A102" s="20"/>
    </row>
    <row r="103" spans="1:1" x14ac:dyDescent="0.45">
      <c r="A103" s="20"/>
    </row>
    <row r="104" spans="1:1" x14ac:dyDescent="0.45">
      <c r="A104" s="20"/>
    </row>
    <row r="105" spans="1:1" x14ac:dyDescent="0.45">
      <c r="A105" s="20"/>
    </row>
    <row r="106" spans="1:1" x14ac:dyDescent="0.45">
      <c r="A106" s="20"/>
    </row>
    <row r="107" spans="1:1" x14ac:dyDescent="0.45">
      <c r="A107" s="20"/>
    </row>
    <row r="108" spans="1:1" x14ac:dyDescent="0.45">
      <c r="A108" s="20"/>
    </row>
    <row r="109" spans="1:1" x14ac:dyDescent="0.45">
      <c r="A109" s="20"/>
    </row>
    <row r="110" spans="1:1" x14ac:dyDescent="0.45">
      <c r="A110" s="20"/>
    </row>
    <row r="111" spans="1:1" x14ac:dyDescent="0.45">
      <c r="A111" s="20"/>
    </row>
    <row r="112" spans="1:1" x14ac:dyDescent="0.45">
      <c r="A112" s="20"/>
    </row>
    <row r="113" spans="1:1" x14ac:dyDescent="0.45">
      <c r="A113" s="20"/>
    </row>
    <row r="114" spans="1:1" x14ac:dyDescent="0.45">
      <c r="A114" s="20"/>
    </row>
    <row r="115" spans="1:1" x14ac:dyDescent="0.45">
      <c r="A115" s="20"/>
    </row>
    <row r="116" spans="1:1" x14ac:dyDescent="0.45">
      <c r="A116" s="20"/>
    </row>
    <row r="117" spans="1:1" x14ac:dyDescent="0.45">
      <c r="A117" s="20"/>
    </row>
    <row r="118" spans="1:1" x14ac:dyDescent="0.45">
      <c r="A118" s="20"/>
    </row>
    <row r="119" spans="1:1" x14ac:dyDescent="0.45">
      <c r="A119" s="20"/>
    </row>
    <row r="120" spans="1:1" x14ac:dyDescent="0.45">
      <c r="A120" s="20"/>
    </row>
    <row r="121" spans="1:1" x14ac:dyDescent="0.45">
      <c r="A121" s="20"/>
    </row>
    <row r="122" spans="1:1" x14ac:dyDescent="0.45">
      <c r="A122" s="20"/>
    </row>
    <row r="123" spans="1:1" x14ac:dyDescent="0.45">
      <c r="A123" s="20"/>
    </row>
    <row r="124" spans="1:1" x14ac:dyDescent="0.45">
      <c r="A124" s="20"/>
    </row>
    <row r="125" spans="1:1" x14ac:dyDescent="0.45">
      <c r="A125" s="20"/>
    </row>
    <row r="126" spans="1:1" x14ac:dyDescent="0.45">
      <c r="A126" s="20"/>
    </row>
    <row r="127" spans="1:1" x14ac:dyDescent="0.45">
      <c r="A127" s="20"/>
    </row>
    <row r="128" spans="1:1" x14ac:dyDescent="0.45">
      <c r="A128" s="20"/>
    </row>
    <row r="129" spans="1:1" x14ac:dyDescent="0.45">
      <c r="A129" s="20"/>
    </row>
    <row r="130" spans="1:1" x14ac:dyDescent="0.45">
      <c r="A130" s="20"/>
    </row>
    <row r="131" spans="1:1" x14ac:dyDescent="0.45">
      <c r="A131" s="21"/>
    </row>
    <row r="132" spans="1:1" x14ac:dyDescent="0.45">
      <c r="A132" s="21"/>
    </row>
    <row r="133" spans="1:1" x14ac:dyDescent="0.45">
      <c r="A133" s="21"/>
    </row>
    <row r="134" spans="1:1" x14ac:dyDescent="0.45">
      <c r="A134" s="21"/>
    </row>
    <row r="135" spans="1:1" x14ac:dyDescent="0.45">
      <c r="A135" s="21"/>
    </row>
    <row r="136" spans="1:1" x14ac:dyDescent="0.45">
      <c r="A136" s="21"/>
    </row>
    <row r="137" spans="1:1" x14ac:dyDescent="0.45">
      <c r="A137" s="21"/>
    </row>
    <row r="138" spans="1:1" x14ac:dyDescent="0.45">
      <c r="A138" s="21"/>
    </row>
    <row r="139" spans="1:1" x14ac:dyDescent="0.45">
      <c r="A139" s="21"/>
    </row>
    <row r="140" spans="1:1" x14ac:dyDescent="0.45">
      <c r="A140" s="21"/>
    </row>
    <row r="141" spans="1:1" x14ac:dyDescent="0.45">
      <c r="A141" s="21"/>
    </row>
    <row r="142" spans="1:1" x14ac:dyDescent="0.45">
      <c r="A142" s="21"/>
    </row>
    <row r="143" spans="1:1" x14ac:dyDescent="0.45">
      <c r="A143" s="21"/>
    </row>
    <row r="144" spans="1:1" x14ac:dyDescent="0.45">
      <c r="A144" s="21"/>
    </row>
    <row r="145" spans="1:1" x14ac:dyDescent="0.45">
      <c r="A145" s="21"/>
    </row>
    <row r="146" spans="1:1" x14ac:dyDescent="0.45">
      <c r="A146" s="21"/>
    </row>
    <row r="147" spans="1:1" x14ac:dyDescent="0.45">
      <c r="A147" s="21"/>
    </row>
    <row r="148" spans="1:1" x14ac:dyDescent="0.45">
      <c r="A148" s="21"/>
    </row>
    <row r="149" spans="1:1" x14ac:dyDescent="0.45">
      <c r="A149" s="21"/>
    </row>
    <row r="150" spans="1:1" x14ac:dyDescent="0.45">
      <c r="A150" s="21"/>
    </row>
    <row r="151" spans="1:1" x14ac:dyDescent="0.45">
      <c r="A151" s="21"/>
    </row>
    <row r="152" spans="1:1" x14ac:dyDescent="0.45">
      <c r="A152" s="21"/>
    </row>
    <row r="153" spans="1:1" x14ac:dyDescent="0.45">
      <c r="A153" s="21"/>
    </row>
    <row r="154" spans="1:1" x14ac:dyDescent="0.45">
      <c r="A154" s="21"/>
    </row>
    <row r="155" spans="1:1" x14ac:dyDescent="0.45">
      <c r="A155" s="21"/>
    </row>
    <row r="156" spans="1:1" x14ac:dyDescent="0.45">
      <c r="A156" s="21"/>
    </row>
    <row r="157" spans="1:1" x14ac:dyDescent="0.45">
      <c r="A157" s="21"/>
    </row>
    <row r="158" spans="1:1" x14ac:dyDescent="0.45">
      <c r="A158" s="21"/>
    </row>
    <row r="159" spans="1:1" x14ac:dyDescent="0.45">
      <c r="A159" s="21"/>
    </row>
    <row r="160" spans="1:1" x14ac:dyDescent="0.45">
      <c r="A160" s="21"/>
    </row>
    <row r="161" spans="1:1" x14ac:dyDescent="0.45">
      <c r="A161" s="21"/>
    </row>
    <row r="162" spans="1:1" x14ac:dyDescent="0.45">
      <c r="A162" s="21"/>
    </row>
    <row r="163" spans="1:1" x14ac:dyDescent="0.45">
      <c r="A163" s="21"/>
    </row>
    <row r="164" spans="1:1" x14ac:dyDescent="0.45">
      <c r="A164" s="21"/>
    </row>
    <row r="165" spans="1:1" x14ac:dyDescent="0.45">
      <c r="A165" s="21"/>
    </row>
    <row r="166" spans="1:1" x14ac:dyDescent="0.45">
      <c r="A166" s="21"/>
    </row>
    <row r="167" spans="1:1" x14ac:dyDescent="0.45">
      <c r="A167" s="21"/>
    </row>
    <row r="168" spans="1:1" x14ac:dyDescent="0.45">
      <c r="A168" s="21"/>
    </row>
    <row r="169" spans="1:1" x14ac:dyDescent="0.45">
      <c r="A169" s="21"/>
    </row>
    <row r="170" spans="1:1" x14ac:dyDescent="0.45">
      <c r="A170" s="21"/>
    </row>
    <row r="171" spans="1:1" x14ac:dyDescent="0.45">
      <c r="A171" s="21"/>
    </row>
    <row r="172" spans="1:1" x14ac:dyDescent="0.45">
      <c r="A172" s="21"/>
    </row>
    <row r="173" spans="1:1" x14ac:dyDescent="0.45">
      <c r="A173" s="21"/>
    </row>
    <row r="174" spans="1:1" x14ac:dyDescent="0.45">
      <c r="A174" s="21"/>
    </row>
    <row r="175" spans="1:1" x14ac:dyDescent="0.45">
      <c r="A175" s="21"/>
    </row>
    <row r="176" spans="1:1" x14ac:dyDescent="0.45">
      <c r="A176" s="21"/>
    </row>
    <row r="177" spans="1:1" x14ac:dyDescent="0.45">
      <c r="A177" s="21"/>
    </row>
    <row r="178" spans="1:1" x14ac:dyDescent="0.45">
      <c r="A178" s="21"/>
    </row>
    <row r="179" spans="1:1" x14ac:dyDescent="0.45">
      <c r="A179" s="21"/>
    </row>
    <row r="180" spans="1:1" x14ac:dyDescent="0.45">
      <c r="A180" s="21"/>
    </row>
    <row r="181" spans="1:1" x14ac:dyDescent="0.45">
      <c r="A181" s="21"/>
    </row>
    <row r="182" spans="1:1" x14ac:dyDescent="0.45">
      <c r="A182" s="21"/>
    </row>
    <row r="183" spans="1:1" x14ac:dyDescent="0.45">
      <c r="A183" s="21"/>
    </row>
    <row r="184" spans="1:1" x14ac:dyDescent="0.45">
      <c r="A184" s="21"/>
    </row>
    <row r="185" spans="1:1" x14ac:dyDescent="0.45">
      <c r="A185" s="21"/>
    </row>
    <row r="186" spans="1:1" x14ac:dyDescent="0.45">
      <c r="A186" s="21"/>
    </row>
    <row r="187" spans="1:1" x14ac:dyDescent="0.45">
      <c r="A187" s="21"/>
    </row>
    <row r="188" spans="1:1" x14ac:dyDescent="0.45">
      <c r="A188" s="21"/>
    </row>
    <row r="189" spans="1:1" x14ac:dyDescent="0.45">
      <c r="A189" s="21"/>
    </row>
    <row r="190" spans="1:1" x14ac:dyDescent="0.45">
      <c r="A190" s="21"/>
    </row>
    <row r="191" spans="1:1" x14ac:dyDescent="0.45">
      <c r="A191" s="21"/>
    </row>
    <row r="192" spans="1:1" x14ac:dyDescent="0.45">
      <c r="A192" s="21"/>
    </row>
    <row r="193" spans="1:1" x14ac:dyDescent="0.45">
      <c r="A193" s="21"/>
    </row>
    <row r="194" spans="1:1" x14ac:dyDescent="0.45">
      <c r="A194" s="21"/>
    </row>
    <row r="195" spans="1:1" x14ac:dyDescent="0.45">
      <c r="A195" s="21"/>
    </row>
    <row r="196" spans="1:1" x14ac:dyDescent="0.45">
      <c r="A196" s="21"/>
    </row>
    <row r="197" spans="1:1" x14ac:dyDescent="0.45">
      <c r="A197" s="21"/>
    </row>
    <row r="198" spans="1:1" x14ac:dyDescent="0.45">
      <c r="A198" s="21"/>
    </row>
    <row r="199" spans="1:1" x14ac:dyDescent="0.45">
      <c r="A199" s="21"/>
    </row>
    <row r="200" spans="1:1" x14ac:dyDescent="0.45">
      <c r="A200" s="21"/>
    </row>
    <row r="201" spans="1:1" x14ac:dyDescent="0.45">
      <c r="A201" s="21"/>
    </row>
    <row r="202" spans="1:1" x14ac:dyDescent="0.45">
      <c r="A202" s="21"/>
    </row>
    <row r="203" spans="1:1" x14ac:dyDescent="0.45">
      <c r="A203" s="21"/>
    </row>
    <row r="204" spans="1:1" x14ac:dyDescent="0.45">
      <c r="A204" s="21"/>
    </row>
    <row r="205" spans="1:1" x14ac:dyDescent="0.45">
      <c r="A205" s="21"/>
    </row>
    <row r="206" spans="1:1" x14ac:dyDescent="0.45">
      <c r="A206" s="21"/>
    </row>
    <row r="207" spans="1:1" x14ac:dyDescent="0.45">
      <c r="A207" s="21"/>
    </row>
    <row r="208" spans="1:1" x14ac:dyDescent="0.45">
      <c r="A208" s="21"/>
    </row>
    <row r="209" spans="1:1" x14ac:dyDescent="0.45">
      <c r="A209" s="21"/>
    </row>
    <row r="210" spans="1:1" x14ac:dyDescent="0.45">
      <c r="A210" s="21"/>
    </row>
    <row r="211" spans="1:1" x14ac:dyDescent="0.45">
      <c r="A211" s="21"/>
    </row>
    <row r="212" spans="1:1" x14ac:dyDescent="0.45">
      <c r="A212" s="21"/>
    </row>
    <row r="213" spans="1:1" x14ac:dyDescent="0.45">
      <c r="A213" s="21"/>
    </row>
    <row r="214" spans="1:1" x14ac:dyDescent="0.45">
      <c r="A214" s="21"/>
    </row>
    <row r="215" spans="1:1" x14ac:dyDescent="0.45">
      <c r="A215" s="21"/>
    </row>
    <row r="216" spans="1:1" x14ac:dyDescent="0.45">
      <c r="A216" s="21"/>
    </row>
    <row r="217" spans="1:1" x14ac:dyDescent="0.45">
      <c r="A217" s="21"/>
    </row>
    <row r="218" spans="1:1" x14ac:dyDescent="0.45">
      <c r="A218" s="21"/>
    </row>
    <row r="219" spans="1:1" x14ac:dyDescent="0.45">
      <c r="A219" s="21"/>
    </row>
    <row r="220" spans="1:1" x14ac:dyDescent="0.45">
      <c r="A220" s="21"/>
    </row>
    <row r="221" spans="1:1" x14ac:dyDescent="0.45">
      <c r="A221" s="21"/>
    </row>
    <row r="222" spans="1:1" x14ac:dyDescent="0.45">
      <c r="A222" s="21"/>
    </row>
    <row r="223" spans="1:1" x14ac:dyDescent="0.45">
      <c r="A223" s="21"/>
    </row>
    <row r="224" spans="1:1" x14ac:dyDescent="0.45">
      <c r="A224" s="21"/>
    </row>
    <row r="225" spans="1:1" x14ac:dyDescent="0.45">
      <c r="A225" s="21"/>
    </row>
    <row r="226" spans="1:1" x14ac:dyDescent="0.45">
      <c r="A226" s="21"/>
    </row>
    <row r="227" spans="1:1" x14ac:dyDescent="0.45">
      <c r="A227" s="21"/>
    </row>
    <row r="228" spans="1:1" x14ac:dyDescent="0.45">
      <c r="A228" s="21"/>
    </row>
    <row r="229" spans="1:1" x14ac:dyDescent="0.45">
      <c r="A229" s="21"/>
    </row>
    <row r="230" spans="1:1" x14ac:dyDescent="0.45">
      <c r="A230" s="21"/>
    </row>
    <row r="231" spans="1:1" x14ac:dyDescent="0.45">
      <c r="A231" s="21"/>
    </row>
    <row r="232" spans="1:1" x14ac:dyDescent="0.45">
      <c r="A232" s="21"/>
    </row>
    <row r="233" spans="1:1" x14ac:dyDescent="0.45">
      <c r="A233" s="21"/>
    </row>
    <row r="234" spans="1:1" x14ac:dyDescent="0.45">
      <c r="A234" s="21"/>
    </row>
    <row r="235" spans="1:1" x14ac:dyDescent="0.45">
      <c r="A235" s="21"/>
    </row>
    <row r="236" spans="1:1" x14ac:dyDescent="0.45">
      <c r="A236" s="21"/>
    </row>
    <row r="237" spans="1:1" x14ac:dyDescent="0.45">
      <c r="A237" s="21"/>
    </row>
    <row r="238" spans="1:1" x14ac:dyDescent="0.45">
      <c r="A238" s="21"/>
    </row>
    <row r="239" spans="1:1" x14ac:dyDescent="0.45">
      <c r="A239" s="21"/>
    </row>
    <row r="240" spans="1:1" x14ac:dyDescent="0.45">
      <c r="A240" s="21"/>
    </row>
    <row r="241" spans="1:1" x14ac:dyDescent="0.45">
      <c r="A241" s="21"/>
    </row>
    <row r="242" spans="1:1" x14ac:dyDescent="0.45">
      <c r="A242" s="21"/>
    </row>
    <row r="243" spans="1:1" x14ac:dyDescent="0.45">
      <c r="A243" s="21"/>
    </row>
    <row r="244" spans="1:1" x14ac:dyDescent="0.45">
      <c r="A244" s="21"/>
    </row>
    <row r="245" spans="1:1" x14ac:dyDescent="0.45">
      <c r="A245" s="21"/>
    </row>
    <row r="246" spans="1:1" x14ac:dyDescent="0.45">
      <c r="A246" s="21"/>
    </row>
    <row r="247" spans="1:1" x14ac:dyDescent="0.45">
      <c r="A247" s="21"/>
    </row>
    <row r="248" spans="1:1" x14ac:dyDescent="0.45">
      <c r="A248" s="21"/>
    </row>
    <row r="249" spans="1:1" x14ac:dyDescent="0.45">
      <c r="A249" s="21"/>
    </row>
    <row r="250" spans="1:1" x14ac:dyDescent="0.45">
      <c r="A250" s="21"/>
    </row>
    <row r="251" spans="1:1" x14ac:dyDescent="0.45">
      <c r="A251" s="21"/>
    </row>
    <row r="252" spans="1:1" x14ac:dyDescent="0.45">
      <c r="A252" s="21"/>
    </row>
    <row r="253" spans="1:1" x14ac:dyDescent="0.45">
      <c r="A253" s="21"/>
    </row>
    <row r="254" spans="1:1" x14ac:dyDescent="0.45">
      <c r="A254" s="21"/>
    </row>
    <row r="255" spans="1:1" x14ac:dyDescent="0.45">
      <c r="A255" s="21"/>
    </row>
    <row r="256" spans="1:1" x14ac:dyDescent="0.45">
      <c r="A256" s="21"/>
    </row>
    <row r="257" spans="1:1" x14ac:dyDescent="0.45">
      <c r="A257" s="21"/>
    </row>
    <row r="258" spans="1:1" x14ac:dyDescent="0.45">
      <c r="A258" s="21"/>
    </row>
    <row r="259" spans="1:1" x14ac:dyDescent="0.45">
      <c r="A259" s="21"/>
    </row>
    <row r="260" spans="1:1" x14ac:dyDescent="0.45">
      <c r="A260" s="21"/>
    </row>
    <row r="261" spans="1:1" x14ac:dyDescent="0.45">
      <c r="A261" s="21"/>
    </row>
    <row r="262" spans="1:1" x14ac:dyDescent="0.45">
      <c r="A262" s="21"/>
    </row>
    <row r="263" spans="1:1" x14ac:dyDescent="0.45">
      <c r="A263" s="21"/>
    </row>
    <row r="264" spans="1:1" x14ac:dyDescent="0.45">
      <c r="A264" s="21"/>
    </row>
    <row r="265" spans="1:1" x14ac:dyDescent="0.45">
      <c r="A265" s="21"/>
    </row>
    <row r="266" spans="1:1" x14ac:dyDescent="0.45">
      <c r="A266" s="21"/>
    </row>
    <row r="267" spans="1:1" x14ac:dyDescent="0.45">
      <c r="A267" s="21"/>
    </row>
    <row r="268" spans="1:1" x14ac:dyDescent="0.45">
      <c r="A268" s="21"/>
    </row>
    <row r="269" spans="1:1" x14ac:dyDescent="0.45">
      <c r="A269" s="21"/>
    </row>
    <row r="270" spans="1:1" x14ac:dyDescent="0.45">
      <c r="A270" s="21"/>
    </row>
    <row r="271" spans="1:1" x14ac:dyDescent="0.45">
      <c r="A271" s="21"/>
    </row>
    <row r="272" spans="1:1" x14ac:dyDescent="0.45">
      <c r="A272" s="21"/>
    </row>
    <row r="273" spans="1:1" x14ac:dyDescent="0.45">
      <c r="A273" s="21"/>
    </row>
    <row r="274" spans="1:1" x14ac:dyDescent="0.45">
      <c r="A274" s="21"/>
    </row>
    <row r="275" spans="1:1" x14ac:dyDescent="0.45">
      <c r="A275" s="21"/>
    </row>
    <row r="276" spans="1:1" x14ac:dyDescent="0.45">
      <c r="A276" s="21"/>
    </row>
    <row r="277" spans="1:1" x14ac:dyDescent="0.45">
      <c r="A277" s="21"/>
    </row>
    <row r="278" spans="1:1" x14ac:dyDescent="0.45">
      <c r="A278" s="21"/>
    </row>
    <row r="279" spans="1:1" x14ac:dyDescent="0.45">
      <c r="A279" s="21"/>
    </row>
    <row r="280" spans="1:1" x14ac:dyDescent="0.45">
      <c r="A280" s="21"/>
    </row>
    <row r="281" spans="1:1" x14ac:dyDescent="0.45">
      <c r="A281" s="21"/>
    </row>
    <row r="282" spans="1:1" x14ac:dyDescent="0.45">
      <c r="A282" s="21"/>
    </row>
    <row r="283" spans="1:1" x14ac:dyDescent="0.45">
      <c r="A283" s="21"/>
    </row>
    <row r="284" spans="1:1" x14ac:dyDescent="0.45">
      <c r="A284" s="21"/>
    </row>
    <row r="285" spans="1:1" x14ac:dyDescent="0.45">
      <c r="A285" s="21"/>
    </row>
    <row r="286" spans="1:1" x14ac:dyDescent="0.45">
      <c r="A286" s="21"/>
    </row>
    <row r="287" spans="1:1" x14ac:dyDescent="0.45">
      <c r="A287" s="21"/>
    </row>
    <row r="288" spans="1:1" x14ac:dyDescent="0.45">
      <c r="A288" s="21"/>
    </row>
    <row r="289" spans="1:1" x14ac:dyDescent="0.45">
      <c r="A289" s="21"/>
    </row>
    <row r="290" spans="1:1" x14ac:dyDescent="0.45">
      <c r="A290" s="21"/>
    </row>
    <row r="291" spans="1:1" x14ac:dyDescent="0.45">
      <c r="A291" s="21"/>
    </row>
    <row r="292" spans="1:1" x14ac:dyDescent="0.45">
      <c r="A292" s="21"/>
    </row>
    <row r="293" spans="1:1" x14ac:dyDescent="0.45">
      <c r="A293" s="21"/>
    </row>
    <row r="294" spans="1:1" x14ac:dyDescent="0.45">
      <c r="A294" s="21"/>
    </row>
    <row r="295" spans="1:1" x14ac:dyDescent="0.45">
      <c r="A295" s="21"/>
    </row>
    <row r="296" spans="1:1" x14ac:dyDescent="0.45">
      <c r="A296" s="21"/>
    </row>
    <row r="297" spans="1:1" x14ac:dyDescent="0.45">
      <c r="A297" s="21"/>
    </row>
    <row r="298" spans="1:1" x14ac:dyDescent="0.45">
      <c r="A298" s="21"/>
    </row>
    <row r="299" spans="1:1" x14ac:dyDescent="0.45">
      <c r="A299" s="21"/>
    </row>
    <row r="300" spans="1:1" x14ac:dyDescent="0.45">
      <c r="A300" s="21"/>
    </row>
    <row r="301" spans="1:1" x14ac:dyDescent="0.45">
      <c r="A301" s="21"/>
    </row>
    <row r="302" spans="1:1" x14ac:dyDescent="0.45">
      <c r="A302" s="21"/>
    </row>
    <row r="303" spans="1:1" x14ac:dyDescent="0.45">
      <c r="A303" s="21"/>
    </row>
    <row r="304" spans="1:1" x14ac:dyDescent="0.45">
      <c r="A304" s="21"/>
    </row>
    <row r="305" spans="1:1" x14ac:dyDescent="0.45">
      <c r="A305" s="21"/>
    </row>
    <row r="306" spans="1:1" x14ac:dyDescent="0.45">
      <c r="A306" s="21"/>
    </row>
    <row r="307" spans="1:1" x14ac:dyDescent="0.45">
      <c r="A307" s="21"/>
    </row>
    <row r="308" spans="1:1" x14ac:dyDescent="0.45">
      <c r="A308" s="21"/>
    </row>
    <row r="309" spans="1:1" x14ac:dyDescent="0.45">
      <c r="A309" s="21"/>
    </row>
    <row r="310" spans="1:1" x14ac:dyDescent="0.45">
      <c r="A310" s="21"/>
    </row>
    <row r="311" spans="1:1" x14ac:dyDescent="0.45">
      <c r="A311" s="21"/>
    </row>
    <row r="312" spans="1:1" x14ac:dyDescent="0.45">
      <c r="A312" s="21"/>
    </row>
    <row r="313" spans="1:1" x14ac:dyDescent="0.45">
      <c r="A313" s="21"/>
    </row>
    <row r="314" spans="1:1" x14ac:dyDescent="0.45">
      <c r="A314" s="21"/>
    </row>
    <row r="315" spans="1:1" x14ac:dyDescent="0.45">
      <c r="A315" s="21"/>
    </row>
    <row r="316" spans="1:1" x14ac:dyDescent="0.45">
      <c r="A316" s="21"/>
    </row>
    <row r="317" spans="1:1" x14ac:dyDescent="0.45">
      <c r="A317" s="21"/>
    </row>
    <row r="318" spans="1:1" x14ac:dyDescent="0.45">
      <c r="A318" s="21"/>
    </row>
    <row r="319" spans="1:1" x14ac:dyDescent="0.45">
      <c r="A319" s="21"/>
    </row>
    <row r="320" spans="1:1" x14ac:dyDescent="0.45">
      <c r="A320" s="21"/>
    </row>
    <row r="321" spans="1:1" x14ac:dyDescent="0.45">
      <c r="A321" s="21"/>
    </row>
    <row r="322" spans="1:1" x14ac:dyDescent="0.45">
      <c r="A322" s="21"/>
    </row>
    <row r="323" spans="1:1" x14ac:dyDescent="0.45">
      <c r="A323" s="21"/>
    </row>
    <row r="324" spans="1:1" x14ac:dyDescent="0.45">
      <c r="A324" s="21"/>
    </row>
    <row r="325" spans="1:1" x14ac:dyDescent="0.45">
      <c r="A325" s="21"/>
    </row>
    <row r="326" spans="1:1" x14ac:dyDescent="0.45">
      <c r="A326" s="21"/>
    </row>
    <row r="327" spans="1:1" x14ac:dyDescent="0.45">
      <c r="A327" s="21"/>
    </row>
    <row r="328" spans="1:1" x14ac:dyDescent="0.45">
      <c r="A328" s="21"/>
    </row>
    <row r="329" spans="1:1" x14ac:dyDescent="0.45">
      <c r="A329" s="21"/>
    </row>
    <row r="330" spans="1:1" x14ac:dyDescent="0.45">
      <c r="A330" s="21"/>
    </row>
    <row r="331" spans="1:1" x14ac:dyDescent="0.45">
      <c r="A331" s="21"/>
    </row>
    <row r="332" spans="1:1" x14ac:dyDescent="0.45">
      <c r="A332" s="21"/>
    </row>
    <row r="333" spans="1:1" x14ac:dyDescent="0.45">
      <c r="A333" s="21"/>
    </row>
    <row r="334" spans="1:1" x14ac:dyDescent="0.45">
      <c r="A334" s="21"/>
    </row>
    <row r="335" spans="1:1" x14ac:dyDescent="0.45">
      <c r="A335" s="21"/>
    </row>
    <row r="336" spans="1:1" x14ac:dyDescent="0.45">
      <c r="A336" s="21"/>
    </row>
    <row r="337" spans="1:1" x14ac:dyDescent="0.45">
      <c r="A337" s="21"/>
    </row>
    <row r="338" spans="1:1" x14ac:dyDescent="0.45">
      <c r="A338" s="21"/>
    </row>
    <row r="339" spans="1:1" x14ac:dyDescent="0.45">
      <c r="A339" s="21"/>
    </row>
    <row r="340" spans="1:1" x14ac:dyDescent="0.45">
      <c r="A340" s="21"/>
    </row>
    <row r="341" spans="1:1" x14ac:dyDescent="0.45">
      <c r="A341" s="21"/>
    </row>
    <row r="342" spans="1:1" x14ac:dyDescent="0.45">
      <c r="A342" s="21"/>
    </row>
    <row r="343" spans="1:1" x14ac:dyDescent="0.45">
      <c r="A343" s="21"/>
    </row>
    <row r="344" spans="1:1" x14ac:dyDescent="0.45">
      <c r="A344" s="21"/>
    </row>
    <row r="345" spans="1:1" x14ac:dyDescent="0.45">
      <c r="A345" s="21"/>
    </row>
    <row r="346" spans="1:1" x14ac:dyDescent="0.45">
      <c r="A346" s="21"/>
    </row>
    <row r="347" spans="1:1" x14ac:dyDescent="0.45">
      <c r="A347" s="21"/>
    </row>
    <row r="348" spans="1:1" x14ac:dyDescent="0.45">
      <c r="A348" s="21"/>
    </row>
    <row r="349" spans="1:1" x14ac:dyDescent="0.45">
      <c r="A349" s="21"/>
    </row>
    <row r="350" spans="1:1" x14ac:dyDescent="0.45">
      <c r="A350" s="21"/>
    </row>
    <row r="351" spans="1:1" x14ac:dyDescent="0.45">
      <c r="A351" s="21"/>
    </row>
    <row r="352" spans="1:1" x14ac:dyDescent="0.45">
      <c r="A352" s="21"/>
    </row>
    <row r="353" spans="1:1" x14ac:dyDescent="0.45">
      <c r="A353" s="21"/>
    </row>
    <row r="354" spans="1:1" x14ac:dyDescent="0.45">
      <c r="A354" s="21"/>
    </row>
    <row r="355" spans="1:1" x14ac:dyDescent="0.45">
      <c r="A355" s="21"/>
    </row>
    <row r="356" spans="1:1" x14ac:dyDescent="0.45">
      <c r="A356" s="21"/>
    </row>
    <row r="357" spans="1:1" x14ac:dyDescent="0.45">
      <c r="A357" s="21"/>
    </row>
    <row r="358" spans="1:1" x14ac:dyDescent="0.45">
      <c r="A358" s="21"/>
    </row>
    <row r="359" spans="1:1" x14ac:dyDescent="0.45">
      <c r="A359" s="21"/>
    </row>
    <row r="360" spans="1:1" x14ac:dyDescent="0.45">
      <c r="A360" s="21"/>
    </row>
    <row r="361" spans="1:1" x14ac:dyDescent="0.45">
      <c r="A361" s="21"/>
    </row>
    <row r="362" spans="1:1" x14ac:dyDescent="0.45">
      <c r="A362" s="21"/>
    </row>
    <row r="363" spans="1:1" x14ac:dyDescent="0.45">
      <c r="A363" s="21"/>
    </row>
    <row r="364" spans="1:1" x14ac:dyDescent="0.45">
      <c r="A364" s="21"/>
    </row>
    <row r="365" spans="1:1" x14ac:dyDescent="0.45">
      <c r="A365" s="21"/>
    </row>
    <row r="366" spans="1:1" x14ac:dyDescent="0.45">
      <c r="A366" s="21"/>
    </row>
    <row r="367" spans="1:1" x14ac:dyDescent="0.45">
      <c r="A367" s="21"/>
    </row>
    <row r="368" spans="1:1" x14ac:dyDescent="0.45">
      <c r="A368" s="21"/>
    </row>
    <row r="369" spans="1:1" x14ac:dyDescent="0.45">
      <c r="A369" s="21"/>
    </row>
    <row r="370" spans="1:1" x14ac:dyDescent="0.45">
      <c r="A370" s="21"/>
    </row>
    <row r="371" spans="1:1" x14ac:dyDescent="0.45">
      <c r="A371" s="21"/>
    </row>
    <row r="372" spans="1:1" x14ac:dyDescent="0.45">
      <c r="A372" s="21"/>
    </row>
    <row r="373" spans="1:1" x14ac:dyDescent="0.45">
      <c r="A373" s="21"/>
    </row>
    <row r="374" spans="1:1" x14ac:dyDescent="0.45">
      <c r="A374" s="21"/>
    </row>
    <row r="375" spans="1:1" x14ac:dyDescent="0.45">
      <c r="A375" s="21"/>
    </row>
    <row r="376" spans="1:1" x14ac:dyDescent="0.45">
      <c r="A376" s="21"/>
    </row>
    <row r="377" spans="1:1" x14ac:dyDescent="0.45">
      <c r="A377" s="21"/>
    </row>
    <row r="378" spans="1:1" x14ac:dyDescent="0.45">
      <c r="A378" s="21"/>
    </row>
    <row r="379" spans="1:1" x14ac:dyDescent="0.45">
      <c r="A379" s="21"/>
    </row>
    <row r="380" spans="1:1" x14ac:dyDescent="0.45">
      <c r="A380" s="21"/>
    </row>
    <row r="381" spans="1:1" x14ac:dyDescent="0.45">
      <c r="A381" s="21"/>
    </row>
    <row r="382" spans="1:1" x14ac:dyDescent="0.45">
      <c r="A382" s="21"/>
    </row>
    <row r="383" spans="1:1" x14ac:dyDescent="0.45">
      <c r="A383" s="21"/>
    </row>
    <row r="384" spans="1:1" x14ac:dyDescent="0.45">
      <c r="A384" s="21"/>
    </row>
    <row r="385" spans="1:1" x14ac:dyDescent="0.45">
      <c r="A385" s="21"/>
    </row>
    <row r="386" spans="1:1" x14ac:dyDescent="0.45">
      <c r="A386" s="21"/>
    </row>
    <row r="387" spans="1:1" x14ac:dyDescent="0.45">
      <c r="A387" s="21"/>
    </row>
    <row r="388" spans="1:1" x14ac:dyDescent="0.45">
      <c r="A388" s="21"/>
    </row>
    <row r="389" spans="1:1" x14ac:dyDescent="0.45">
      <c r="A389" s="21"/>
    </row>
    <row r="390" spans="1:1" x14ac:dyDescent="0.45">
      <c r="A390" s="21"/>
    </row>
    <row r="391" spans="1:1" x14ac:dyDescent="0.45">
      <c r="A391" s="21"/>
    </row>
    <row r="392" spans="1:1" x14ac:dyDescent="0.45">
      <c r="A392" s="21"/>
    </row>
    <row r="393" spans="1:1" x14ac:dyDescent="0.45">
      <c r="A393" s="21"/>
    </row>
    <row r="394" spans="1:1" x14ac:dyDescent="0.45">
      <c r="A394" s="21"/>
    </row>
    <row r="395" spans="1:1" x14ac:dyDescent="0.45">
      <c r="A395" s="21"/>
    </row>
    <row r="396" spans="1:1" x14ac:dyDescent="0.45">
      <c r="A396" s="21"/>
    </row>
    <row r="397" spans="1:1" x14ac:dyDescent="0.45">
      <c r="A397" s="21"/>
    </row>
    <row r="398" spans="1:1" x14ac:dyDescent="0.45">
      <c r="A398" s="21"/>
    </row>
    <row r="399" spans="1:1" x14ac:dyDescent="0.45">
      <c r="A399" s="21"/>
    </row>
    <row r="400" spans="1:1" x14ac:dyDescent="0.45">
      <c r="A400" s="21"/>
    </row>
    <row r="401" spans="1:1" x14ac:dyDescent="0.45">
      <c r="A401" s="21"/>
    </row>
    <row r="402" spans="1:1" x14ac:dyDescent="0.45">
      <c r="A402" s="21"/>
    </row>
    <row r="403" spans="1:1" x14ac:dyDescent="0.45">
      <c r="A403" s="21"/>
    </row>
    <row r="404" spans="1:1" x14ac:dyDescent="0.45">
      <c r="A404" s="21"/>
    </row>
    <row r="405" spans="1:1" x14ac:dyDescent="0.45">
      <c r="A405" s="21"/>
    </row>
    <row r="406" spans="1:1" x14ac:dyDescent="0.45">
      <c r="A406" s="21"/>
    </row>
    <row r="407" spans="1:1" x14ac:dyDescent="0.45">
      <c r="A407" s="21"/>
    </row>
    <row r="408" spans="1:1" x14ac:dyDescent="0.45">
      <c r="A408" s="21"/>
    </row>
    <row r="409" spans="1:1" x14ac:dyDescent="0.45">
      <c r="A409" s="21"/>
    </row>
    <row r="410" spans="1:1" x14ac:dyDescent="0.45">
      <c r="A410" s="21"/>
    </row>
    <row r="411" spans="1:1" x14ac:dyDescent="0.45">
      <c r="A411" s="21"/>
    </row>
    <row r="412" spans="1:1" x14ac:dyDescent="0.45">
      <c r="A412" s="21"/>
    </row>
    <row r="413" spans="1:1" x14ac:dyDescent="0.45">
      <c r="A413" s="21"/>
    </row>
    <row r="414" spans="1:1" x14ac:dyDescent="0.45">
      <c r="A414" s="21"/>
    </row>
    <row r="415" spans="1:1" x14ac:dyDescent="0.45">
      <c r="A415" s="21"/>
    </row>
    <row r="416" spans="1:1" x14ac:dyDescent="0.45">
      <c r="A416" s="21"/>
    </row>
    <row r="417" spans="1:1" x14ac:dyDescent="0.45">
      <c r="A417" s="21"/>
    </row>
    <row r="418" spans="1:1" x14ac:dyDescent="0.45">
      <c r="A418" s="21"/>
    </row>
    <row r="419" spans="1:1" x14ac:dyDescent="0.45">
      <c r="A419" s="21"/>
    </row>
    <row r="420" spans="1:1" x14ac:dyDescent="0.45">
      <c r="A420" s="21"/>
    </row>
    <row r="421" spans="1:1" x14ac:dyDescent="0.45">
      <c r="A421" s="21"/>
    </row>
    <row r="422" spans="1:1" x14ac:dyDescent="0.45">
      <c r="A422" s="21"/>
    </row>
    <row r="423" spans="1:1" x14ac:dyDescent="0.45">
      <c r="A423" s="21"/>
    </row>
    <row r="424" spans="1:1" x14ac:dyDescent="0.45">
      <c r="A424" s="21"/>
    </row>
    <row r="425" spans="1:1" x14ac:dyDescent="0.45">
      <c r="A425" s="21"/>
    </row>
    <row r="426" spans="1:1" x14ac:dyDescent="0.45">
      <c r="A426" s="21"/>
    </row>
    <row r="427" spans="1:1" x14ac:dyDescent="0.45">
      <c r="A427" s="21"/>
    </row>
    <row r="428" spans="1:1" x14ac:dyDescent="0.45">
      <c r="A428" s="21"/>
    </row>
    <row r="429" spans="1:1" x14ac:dyDescent="0.45">
      <c r="A429" s="21"/>
    </row>
    <row r="430" spans="1:1" x14ac:dyDescent="0.45">
      <c r="A430" s="21"/>
    </row>
    <row r="431" spans="1:1" x14ac:dyDescent="0.45">
      <c r="A431" s="21"/>
    </row>
    <row r="432" spans="1:1" x14ac:dyDescent="0.45">
      <c r="A432" s="21"/>
    </row>
    <row r="433" spans="1:1" x14ac:dyDescent="0.45">
      <c r="A433" s="21"/>
    </row>
    <row r="434" spans="1:1" x14ac:dyDescent="0.45">
      <c r="A434" s="21"/>
    </row>
    <row r="435" spans="1:1" x14ac:dyDescent="0.45">
      <c r="A435" s="21"/>
    </row>
    <row r="436" spans="1:1" x14ac:dyDescent="0.45">
      <c r="A436" s="21"/>
    </row>
    <row r="437" spans="1:1" x14ac:dyDescent="0.45">
      <c r="A437" s="21"/>
    </row>
    <row r="438" spans="1:1" x14ac:dyDescent="0.45">
      <c r="A438" s="21"/>
    </row>
    <row r="439" spans="1:1" x14ac:dyDescent="0.45">
      <c r="A439" s="21"/>
    </row>
    <row r="440" spans="1:1" x14ac:dyDescent="0.45">
      <c r="A440" s="21"/>
    </row>
    <row r="441" spans="1:1" x14ac:dyDescent="0.45">
      <c r="A441" s="21"/>
    </row>
    <row r="442" spans="1:1" x14ac:dyDescent="0.45">
      <c r="A442" s="21"/>
    </row>
    <row r="443" spans="1:1" x14ac:dyDescent="0.45">
      <c r="A443" s="21"/>
    </row>
    <row r="444" spans="1:1" x14ac:dyDescent="0.45">
      <c r="A444" s="21"/>
    </row>
    <row r="445" spans="1:1" x14ac:dyDescent="0.45">
      <c r="A445" s="21"/>
    </row>
    <row r="446" spans="1:1" x14ac:dyDescent="0.45">
      <c r="A446" s="21"/>
    </row>
    <row r="447" spans="1:1" x14ac:dyDescent="0.45">
      <c r="A447" s="21"/>
    </row>
    <row r="448" spans="1:1" x14ac:dyDescent="0.45">
      <c r="A448" s="21"/>
    </row>
    <row r="449" spans="1:1" x14ac:dyDescent="0.45">
      <c r="A449" s="21"/>
    </row>
    <row r="450" spans="1:1" x14ac:dyDescent="0.45">
      <c r="A450" s="21"/>
    </row>
    <row r="451" spans="1:1" x14ac:dyDescent="0.45">
      <c r="A451" s="21"/>
    </row>
    <row r="452" spans="1:1" x14ac:dyDescent="0.45">
      <c r="A452" s="21"/>
    </row>
    <row r="453" spans="1:1" x14ac:dyDescent="0.45">
      <c r="A453" s="21"/>
    </row>
    <row r="454" spans="1:1" x14ac:dyDescent="0.45">
      <c r="A454" s="21"/>
    </row>
    <row r="455" spans="1:1" x14ac:dyDescent="0.45">
      <c r="A455" s="21"/>
    </row>
    <row r="456" spans="1:1" x14ac:dyDescent="0.45">
      <c r="A456" s="21"/>
    </row>
    <row r="457" spans="1:1" x14ac:dyDescent="0.45">
      <c r="A457" s="21"/>
    </row>
    <row r="458" spans="1:1" x14ac:dyDescent="0.45">
      <c r="A458" s="21"/>
    </row>
    <row r="459" spans="1:1" x14ac:dyDescent="0.45">
      <c r="A459" s="21"/>
    </row>
    <row r="460" spans="1:1" x14ac:dyDescent="0.45">
      <c r="A460" s="21"/>
    </row>
    <row r="461" spans="1:1" x14ac:dyDescent="0.45">
      <c r="A461" s="21"/>
    </row>
    <row r="462" spans="1:1" x14ac:dyDescent="0.45">
      <c r="A462" s="21"/>
    </row>
    <row r="463" spans="1:1" x14ac:dyDescent="0.45">
      <c r="A463" s="21"/>
    </row>
    <row r="464" spans="1:1" x14ac:dyDescent="0.45">
      <c r="A464" s="21"/>
    </row>
    <row r="465" spans="1:1" x14ac:dyDescent="0.45">
      <c r="A465" s="21"/>
    </row>
    <row r="466" spans="1:1" x14ac:dyDescent="0.45">
      <c r="A466" s="21"/>
    </row>
    <row r="467" spans="1:1" x14ac:dyDescent="0.45">
      <c r="A467" s="21"/>
    </row>
    <row r="468" spans="1:1" x14ac:dyDescent="0.45">
      <c r="A468" s="21"/>
    </row>
    <row r="469" spans="1:1" x14ac:dyDescent="0.45">
      <c r="A469" s="21"/>
    </row>
    <row r="470" spans="1:1" x14ac:dyDescent="0.45">
      <c r="A470" s="21"/>
    </row>
    <row r="471" spans="1:1" x14ac:dyDescent="0.45">
      <c r="A471" s="21"/>
    </row>
    <row r="472" spans="1:1" x14ac:dyDescent="0.45">
      <c r="A472" s="21"/>
    </row>
    <row r="473" spans="1:1" x14ac:dyDescent="0.45">
      <c r="A473" s="21"/>
    </row>
    <row r="474" spans="1:1" x14ac:dyDescent="0.45">
      <c r="A474" s="21"/>
    </row>
    <row r="475" spans="1:1" x14ac:dyDescent="0.45">
      <c r="A475" s="21"/>
    </row>
    <row r="476" spans="1:1" x14ac:dyDescent="0.45">
      <c r="A476" s="21"/>
    </row>
    <row r="477" spans="1:1" x14ac:dyDescent="0.45">
      <c r="A477" s="21"/>
    </row>
    <row r="478" spans="1:1" x14ac:dyDescent="0.45">
      <c r="A478" s="21"/>
    </row>
    <row r="479" spans="1:1" x14ac:dyDescent="0.45">
      <c r="A479" s="21"/>
    </row>
    <row r="480" spans="1:1" x14ac:dyDescent="0.45">
      <c r="A480" s="21"/>
    </row>
    <row r="481" spans="1:1" x14ac:dyDescent="0.45">
      <c r="A481" s="21"/>
    </row>
    <row r="482" spans="1:1" x14ac:dyDescent="0.45">
      <c r="A482" s="21"/>
    </row>
    <row r="483" spans="1:1" x14ac:dyDescent="0.45">
      <c r="A483" s="21"/>
    </row>
    <row r="484" spans="1:1" x14ac:dyDescent="0.45">
      <c r="A484" s="21"/>
    </row>
    <row r="485" spans="1:1" x14ac:dyDescent="0.45">
      <c r="A485" s="21"/>
    </row>
    <row r="486" spans="1:1" x14ac:dyDescent="0.45">
      <c r="A486" s="21"/>
    </row>
    <row r="487" spans="1:1" x14ac:dyDescent="0.45">
      <c r="A487" s="21"/>
    </row>
    <row r="488" spans="1:1" x14ac:dyDescent="0.45">
      <c r="A488" s="21"/>
    </row>
    <row r="489" spans="1:1" x14ac:dyDescent="0.45">
      <c r="A489" s="21"/>
    </row>
    <row r="490" spans="1:1" x14ac:dyDescent="0.45">
      <c r="A490" s="21"/>
    </row>
    <row r="491" spans="1:1" x14ac:dyDescent="0.45">
      <c r="A491" s="21"/>
    </row>
    <row r="492" spans="1:1" x14ac:dyDescent="0.45">
      <c r="A492" s="21"/>
    </row>
    <row r="493" spans="1:1" x14ac:dyDescent="0.45">
      <c r="A493" s="21"/>
    </row>
    <row r="494" spans="1:1" x14ac:dyDescent="0.45">
      <c r="A494" s="21"/>
    </row>
    <row r="495" spans="1:1" x14ac:dyDescent="0.45">
      <c r="A495" s="21"/>
    </row>
    <row r="496" spans="1:1" x14ac:dyDescent="0.45">
      <c r="A496" s="21"/>
    </row>
    <row r="497" spans="1:1" x14ac:dyDescent="0.45">
      <c r="A497" s="21"/>
    </row>
    <row r="498" spans="1:1" x14ac:dyDescent="0.45">
      <c r="A498" s="21"/>
    </row>
    <row r="499" spans="1:1" x14ac:dyDescent="0.45">
      <c r="A499" s="21"/>
    </row>
    <row r="500" spans="1:1" x14ac:dyDescent="0.45">
      <c r="A500" s="21"/>
    </row>
    <row r="501" spans="1:1" x14ac:dyDescent="0.45">
      <c r="A501" s="21"/>
    </row>
    <row r="502" spans="1:1" x14ac:dyDescent="0.45">
      <c r="A502" s="21"/>
    </row>
    <row r="503" spans="1:1" x14ac:dyDescent="0.45">
      <c r="A503" s="21"/>
    </row>
    <row r="504" spans="1:1" x14ac:dyDescent="0.45">
      <c r="A504" s="21"/>
    </row>
    <row r="505" spans="1:1" x14ac:dyDescent="0.45">
      <c r="A505" s="21"/>
    </row>
    <row r="506" spans="1:1" x14ac:dyDescent="0.45">
      <c r="A506" s="21"/>
    </row>
    <row r="507" spans="1:1" x14ac:dyDescent="0.45">
      <c r="A507" s="21"/>
    </row>
    <row r="508" spans="1:1" x14ac:dyDescent="0.45">
      <c r="A508" s="21"/>
    </row>
    <row r="509" spans="1:1" x14ac:dyDescent="0.45">
      <c r="A509" s="21"/>
    </row>
    <row r="510" spans="1:1" x14ac:dyDescent="0.45">
      <c r="A510" s="21"/>
    </row>
    <row r="511" spans="1:1" x14ac:dyDescent="0.45">
      <c r="A511" s="21"/>
    </row>
    <row r="512" spans="1:1" x14ac:dyDescent="0.45">
      <c r="A512" s="21"/>
    </row>
    <row r="513" spans="1:1" x14ac:dyDescent="0.45">
      <c r="A513" s="21"/>
    </row>
    <row r="514" spans="1:1" x14ac:dyDescent="0.45">
      <c r="A514" s="21"/>
    </row>
    <row r="515" spans="1:1" x14ac:dyDescent="0.45">
      <c r="A515" s="21"/>
    </row>
    <row r="516" spans="1:1" x14ac:dyDescent="0.45">
      <c r="A516" s="21"/>
    </row>
    <row r="517" spans="1:1" x14ac:dyDescent="0.45">
      <c r="A517" s="21"/>
    </row>
    <row r="518" spans="1:1" x14ac:dyDescent="0.45">
      <c r="A518" s="21"/>
    </row>
    <row r="519" spans="1:1" x14ac:dyDescent="0.45">
      <c r="A519" s="21"/>
    </row>
    <row r="520" spans="1:1" x14ac:dyDescent="0.45">
      <c r="A520" s="21"/>
    </row>
    <row r="521" spans="1:1" x14ac:dyDescent="0.45">
      <c r="A521" s="21"/>
    </row>
    <row r="522" spans="1:1" x14ac:dyDescent="0.45">
      <c r="A522" s="21"/>
    </row>
    <row r="523" spans="1:1" x14ac:dyDescent="0.45">
      <c r="A523" s="21"/>
    </row>
    <row r="524" spans="1:1" x14ac:dyDescent="0.45">
      <c r="A524" s="21"/>
    </row>
    <row r="525" spans="1:1" x14ac:dyDescent="0.45">
      <c r="A525" s="21"/>
    </row>
    <row r="526" spans="1:1" x14ac:dyDescent="0.45">
      <c r="A526" s="21"/>
    </row>
    <row r="527" spans="1:1" x14ac:dyDescent="0.45">
      <c r="A527" s="21"/>
    </row>
    <row r="528" spans="1:1" x14ac:dyDescent="0.45">
      <c r="A528" s="21"/>
    </row>
    <row r="529" spans="1:1" x14ac:dyDescent="0.45">
      <c r="A529" s="21"/>
    </row>
    <row r="530" spans="1:1" x14ac:dyDescent="0.45">
      <c r="A530" s="21"/>
    </row>
    <row r="531" spans="1:1" x14ac:dyDescent="0.45">
      <c r="A531" s="21"/>
    </row>
    <row r="532" spans="1:1" x14ac:dyDescent="0.45">
      <c r="A532" s="21"/>
    </row>
    <row r="533" spans="1:1" x14ac:dyDescent="0.45">
      <c r="A533" s="21"/>
    </row>
    <row r="534" spans="1:1" x14ac:dyDescent="0.45">
      <c r="A534" s="21"/>
    </row>
    <row r="535" spans="1:1" x14ac:dyDescent="0.45">
      <c r="A535" s="21"/>
    </row>
    <row r="536" spans="1:1" x14ac:dyDescent="0.45">
      <c r="A536" s="21"/>
    </row>
    <row r="537" spans="1:1" x14ac:dyDescent="0.45">
      <c r="A537" s="21"/>
    </row>
    <row r="538" spans="1:1" x14ac:dyDescent="0.45">
      <c r="A538" s="21"/>
    </row>
    <row r="539" spans="1:1" x14ac:dyDescent="0.45">
      <c r="A539" s="21"/>
    </row>
    <row r="540" spans="1:1" x14ac:dyDescent="0.45">
      <c r="A540" s="21"/>
    </row>
    <row r="541" spans="1:1" x14ac:dyDescent="0.45">
      <c r="A541" s="21"/>
    </row>
    <row r="542" spans="1:1" x14ac:dyDescent="0.45">
      <c r="A542" s="21"/>
    </row>
    <row r="543" spans="1:1" x14ac:dyDescent="0.45">
      <c r="A543" s="21"/>
    </row>
    <row r="544" spans="1:1" x14ac:dyDescent="0.45">
      <c r="A544" s="21"/>
    </row>
    <row r="545" spans="1:1" x14ac:dyDescent="0.45">
      <c r="A545" s="21"/>
    </row>
    <row r="546" spans="1:1" x14ac:dyDescent="0.45">
      <c r="A546" s="21"/>
    </row>
    <row r="547" spans="1:1" x14ac:dyDescent="0.45">
      <c r="A547" s="21"/>
    </row>
    <row r="548" spans="1:1" x14ac:dyDescent="0.45">
      <c r="A548" s="21"/>
    </row>
    <row r="549" spans="1:1" x14ac:dyDescent="0.45">
      <c r="A549" s="21"/>
    </row>
    <row r="550" spans="1:1" x14ac:dyDescent="0.45">
      <c r="A550" s="21"/>
    </row>
    <row r="551" spans="1:1" x14ac:dyDescent="0.45">
      <c r="A551" s="21"/>
    </row>
    <row r="552" spans="1:1" x14ac:dyDescent="0.45">
      <c r="A552" s="21"/>
    </row>
    <row r="553" spans="1:1" x14ac:dyDescent="0.45">
      <c r="A553" s="21"/>
    </row>
    <row r="554" spans="1:1" x14ac:dyDescent="0.45">
      <c r="A554" s="21"/>
    </row>
    <row r="555" spans="1:1" x14ac:dyDescent="0.45">
      <c r="A555" s="21"/>
    </row>
    <row r="556" spans="1:1" x14ac:dyDescent="0.45">
      <c r="A556" s="21"/>
    </row>
    <row r="557" spans="1:1" x14ac:dyDescent="0.45">
      <c r="A557" s="21"/>
    </row>
    <row r="558" spans="1:1" x14ac:dyDescent="0.45">
      <c r="A558" s="21"/>
    </row>
    <row r="559" spans="1:1" x14ac:dyDescent="0.45">
      <c r="A559" s="21"/>
    </row>
    <row r="560" spans="1:1" x14ac:dyDescent="0.45">
      <c r="A560" s="21"/>
    </row>
    <row r="561" spans="1:1" x14ac:dyDescent="0.45">
      <c r="A561" s="21"/>
    </row>
    <row r="562" spans="1:1" x14ac:dyDescent="0.45">
      <c r="A562" s="21"/>
    </row>
    <row r="563" spans="1:1" x14ac:dyDescent="0.45">
      <c r="A563" s="21"/>
    </row>
    <row r="564" spans="1:1" x14ac:dyDescent="0.45">
      <c r="A564" s="21"/>
    </row>
    <row r="565" spans="1:1" x14ac:dyDescent="0.45">
      <c r="A565" s="21"/>
    </row>
    <row r="566" spans="1:1" x14ac:dyDescent="0.45">
      <c r="A566" s="21"/>
    </row>
    <row r="567" spans="1:1" x14ac:dyDescent="0.45">
      <c r="A567" s="21"/>
    </row>
    <row r="568" spans="1:1" x14ac:dyDescent="0.45">
      <c r="A568" s="21"/>
    </row>
    <row r="569" spans="1:1" x14ac:dyDescent="0.45">
      <c r="A569" s="21"/>
    </row>
    <row r="570" spans="1:1" x14ac:dyDescent="0.45">
      <c r="A570" s="21"/>
    </row>
    <row r="571" spans="1:1" x14ac:dyDescent="0.45">
      <c r="A571" s="21"/>
    </row>
    <row r="572" spans="1:1" x14ac:dyDescent="0.45">
      <c r="A572" s="21"/>
    </row>
    <row r="573" spans="1:1" x14ac:dyDescent="0.45">
      <c r="A573" s="21"/>
    </row>
    <row r="574" spans="1:1" x14ac:dyDescent="0.45">
      <c r="A574" s="21"/>
    </row>
    <row r="575" spans="1:1" x14ac:dyDescent="0.45">
      <c r="A575" s="21"/>
    </row>
    <row r="576" spans="1:1" x14ac:dyDescent="0.45">
      <c r="A576" s="21"/>
    </row>
    <row r="577" spans="1:1" x14ac:dyDescent="0.45">
      <c r="A577" s="21"/>
    </row>
    <row r="578" spans="1:1" x14ac:dyDescent="0.45">
      <c r="A578" s="21"/>
    </row>
    <row r="579" spans="1:1" x14ac:dyDescent="0.45">
      <c r="A579" s="21"/>
    </row>
    <row r="580" spans="1:1" x14ac:dyDescent="0.45">
      <c r="A580" s="21"/>
    </row>
    <row r="581" spans="1:1" x14ac:dyDescent="0.45">
      <c r="A581" s="21"/>
    </row>
    <row r="582" spans="1:1" x14ac:dyDescent="0.45">
      <c r="A582" s="21"/>
    </row>
    <row r="583" spans="1:1" x14ac:dyDescent="0.45">
      <c r="A583" s="21"/>
    </row>
    <row r="584" spans="1:1" x14ac:dyDescent="0.45">
      <c r="A584" s="21"/>
    </row>
    <row r="585" spans="1:1" x14ac:dyDescent="0.45">
      <c r="A585" s="21"/>
    </row>
    <row r="586" spans="1:1" x14ac:dyDescent="0.45">
      <c r="A586" s="21"/>
    </row>
    <row r="587" spans="1:1" x14ac:dyDescent="0.45">
      <c r="A587" s="21"/>
    </row>
    <row r="588" spans="1:1" x14ac:dyDescent="0.45">
      <c r="A588" s="21"/>
    </row>
    <row r="589" spans="1:1" x14ac:dyDescent="0.45">
      <c r="A589" s="21"/>
    </row>
    <row r="590" spans="1:1" x14ac:dyDescent="0.45">
      <c r="A590" s="21"/>
    </row>
    <row r="591" spans="1:1" x14ac:dyDescent="0.45">
      <c r="A591" s="21"/>
    </row>
    <row r="592" spans="1:1" x14ac:dyDescent="0.45">
      <c r="A592" s="21"/>
    </row>
    <row r="593" spans="1:1" x14ac:dyDescent="0.45">
      <c r="A593" s="21"/>
    </row>
    <row r="594" spans="1:1" x14ac:dyDescent="0.45">
      <c r="A594" s="21"/>
    </row>
    <row r="595" spans="1:1" x14ac:dyDescent="0.45">
      <c r="A595" s="21"/>
    </row>
    <row r="596" spans="1:1" x14ac:dyDescent="0.45">
      <c r="A596" s="21"/>
    </row>
    <row r="597" spans="1:1" x14ac:dyDescent="0.45">
      <c r="A597" s="21"/>
    </row>
    <row r="598" spans="1:1" x14ac:dyDescent="0.45">
      <c r="A598" s="21"/>
    </row>
    <row r="599" spans="1:1" x14ac:dyDescent="0.45">
      <c r="A599" s="21"/>
    </row>
    <row r="600" spans="1:1" x14ac:dyDescent="0.45">
      <c r="A600" s="21"/>
    </row>
    <row r="601" spans="1:1" x14ac:dyDescent="0.45">
      <c r="A601" s="21"/>
    </row>
    <row r="602" spans="1:1" x14ac:dyDescent="0.45">
      <c r="A602" s="21"/>
    </row>
    <row r="603" spans="1:1" x14ac:dyDescent="0.45">
      <c r="A603" s="21"/>
    </row>
    <row r="604" spans="1:1" x14ac:dyDescent="0.45">
      <c r="A604" s="21"/>
    </row>
    <row r="605" spans="1:1" x14ac:dyDescent="0.45">
      <c r="A605" s="21"/>
    </row>
    <row r="606" spans="1:1" x14ac:dyDescent="0.45">
      <c r="A606" s="21"/>
    </row>
    <row r="607" spans="1:1" x14ac:dyDescent="0.45">
      <c r="A607" s="21"/>
    </row>
    <row r="608" spans="1:1" x14ac:dyDescent="0.45">
      <c r="A608" s="21"/>
    </row>
    <row r="609" spans="1:1" x14ac:dyDescent="0.45">
      <c r="A609" s="21"/>
    </row>
    <row r="610" spans="1:1" x14ac:dyDescent="0.45">
      <c r="A610" s="21"/>
    </row>
    <row r="611" spans="1:1" x14ac:dyDescent="0.45">
      <c r="A611" s="21"/>
    </row>
    <row r="612" spans="1:1" x14ac:dyDescent="0.45">
      <c r="A612" s="21"/>
    </row>
    <row r="613" spans="1:1" x14ac:dyDescent="0.45">
      <c r="A613" s="21"/>
    </row>
    <row r="614" spans="1:1" x14ac:dyDescent="0.45">
      <c r="A614" s="21"/>
    </row>
    <row r="615" spans="1:1" x14ac:dyDescent="0.45">
      <c r="A615" s="21"/>
    </row>
    <row r="616" spans="1:1" x14ac:dyDescent="0.45">
      <c r="A616" s="21"/>
    </row>
    <row r="617" spans="1:1" x14ac:dyDescent="0.45">
      <c r="A617" s="21"/>
    </row>
    <row r="618" spans="1:1" x14ac:dyDescent="0.45">
      <c r="A618" s="21"/>
    </row>
    <row r="619" spans="1:1" x14ac:dyDescent="0.45">
      <c r="A619" s="21"/>
    </row>
    <row r="620" spans="1:1" x14ac:dyDescent="0.45">
      <c r="A620" s="21"/>
    </row>
    <row r="621" spans="1:1" x14ac:dyDescent="0.45">
      <c r="A621" s="21"/>
    </row>
    <row r="622" spans="1:1" x14ac:dyDescent="0.45">
      <c r="A622" s="21"/>
    </row>
    <row r="623" spans="1:1" x14ac:dyDescent="0.45">
      <c r="A623" s="21"/>
    </row>
    <row r="624" spans="1:1" x14ac:dyDescent="0.45">
      <c r="A624" s="21"/>
    </row>
    <row r="625" spans="1:1" x14ac:dyDescent="0.45">
      <c r="A625" s="21"/>
    </row>
    <row r="626" spans="1:1" x14ac:dyDescent="0.45">
      <c r="A626" s="21"/>
    </row>
    <row r="627" spans="1:1" x14ac:dyDescent="0.45">
      <c r="A627" s="21"/>
    </row>
    <row r="628" spans="1:1" x14ac:dyDescent="0.45">
      <c r="A628" s="21"/>
    </row>
    <row r="629" spans="1:1" x14ac:dyDescent="0.45">
      <c r="A629" s="21"/>
    </row>
    <row r="630" spans="1:1" x14ac:dyDescent="0.45">
      <c r="A630" s="21"/>
    </row>
    <row r="631" spans="1:1" x14ac:dyDescent="0.45">
      <c r="A631" s="21"/>
    </row>
    <row r="632" spans="1:1" x14ac:dyDescent="0.45">
      <c r="A632" s="21"/>
    </row>
    <row r="633" spans="1:1" x14ac:dyDescent="0.45">
      <c r="A633" s="21"/>
    </row>
    <row r="634" spans="1:1" x14ac:dyDescent="0.45">
      <c r="A634" s="21"/>
    </row>
    <row r="635" spans="1:1" x14ac:dyDescent="0.45">
      <c r="A635" s="21"/>
    </row>
    <row r="636" spans="1:1" x14ac:dyDescent="0.45">
      <c r="A636" s="21"/>
    </row>
    <row r="637" spans="1:1" x14ac:dyDescent="0.45">
      <c r="A637" s="21"/>
    </row>
    <row r="638" spans="1:1" x14ac:dyDescent="0.45">
      <c r="A638" s="21"/>
    </row>
    <row r="639" spans="1:1" x14ac:dyDescent="0.45">
      <c r="A639" s="21"/>
    </row>
    <row r="640" spans="1:1" x14ac:dyDescent="0.45">
      <c r="A640" s="21"/>
    </row>
    <row r="641" spans="1:1" x14ac:dyDescent="0.45">
      <c r="A641" s="21"/>
    </row>
    <row r="642" spans="1:1" x14ac:dyDescent="0.45">
      <c r="A642" s="21"/>
    </row>
    <row r="643" spans="1:1" x14ac:dyDescent="0.45">
      <c r="A643" s="21"/>
    </row>
    <row r="644" spans="1:1" x14ac:dyDescent="0.45">
      <c r="A644" s="21"/>
    </row>
    <row r="645" spans="1:1" x14ac:dyDescent="0.45">
      <c r="A645" s="21"/>
    </row>
    <row r="646" spans="1:1" x14ac:dyDescent="0.45">
      <c r="A646" s="21"/>
    </row>
    <row r="647" spans="1:1" x14ac:dyDescent="0.45">
      <c r="A647" s="21"/>
    </row>
    <row r="648" spans="1:1" x14ac:dyDescent="0.45">
      <c r="A648" s="21"/>
    </row>
    <row r="649" spans="1:1" x14ac:dyDescent="0.45">
      <c r="A649" s="21"/>
    </row>
    <row r="650" spans="1:1" x14ac:dyDescent="0.45">
      <c r="A650" s="21"/>
    </row>
    <row r="651" spans="1:1" x14ac:dyDescent="0.45">
      <c r="A651" s="21"/>
    </row>
    <row r="652" spans="1:1" x14ac:dyDescent="0.45">
      <c r="A652" s="21"/>
    </row>
    <row r="653" spans="1:1" x14ac:dyDescent="0.45">
      <c r="A653" s="21"/>
    </row>
    <row r="654" spans="1:1" x14ac:dyDescent="0.45">
      <c r="A654" s="21"/>
    </row>
    <row r="655" spans="1:1" x14ac:dyDescent="0.45">
      <c r="A655" s="21"/>
    </row>
  </sheetData>
  <mergeCells count="1">
    <mergeCell ref="F7:G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Details</vt:lpstr>
      <vt:lpstr>Register</vt:lpstr>
      <vt:lpstr>Login</vt:lpstr>
      <vt:lpstr>Checkout</vt:lpstr>
      <vt:lpstr>CheckYourOrder</vt:lpstr>
      <vt:lpstr>ContactUs</vt:lpstr>
      <vt:lpstr>Test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Faisal Khatri</dc:creator>
  <cp:lastModifiedBy>han</cp:lastModifiedBy>
  <dcterms:created xsi:type="dcterms:W3CDTF">2014-09-26T12:41:46Z</dcterms:created>
  <dcterms:modified xsi:type="dcterms:W3CDTF">2026-07-01T03:32:46Z</dcterms:modified>
</cp:coreProperties>
</file>